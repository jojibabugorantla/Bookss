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6d5b2e29a2b964/Documents/"/>
    </mc:Choice>
  </mc:AlternateContent>
  <xr:revisionPtr revIDLastSave="369" documentId="8_{895A87E8-B251-4451-8BDE-58E36D050C02}" xr6:coauthVersionLast="47" xr6:coauthVersionMax="47" xr10:uidLastSave="{885F0B8B-0E5A-42A3-83D3-25BE70A80B7B}"/>
  <bookViews>
    <workbookView xWindow="-96" yWindow="0" windowWidth="11712" windowHeight="12336" xr2:uid="{A6254FAB-3B0C-4942-9543-09E372FD5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9" i="1"/>
  <c r="E10" i="1"/>
  <c r="E11" i="1" s="1"/>
  <c r="E12" i="1" s="1"/>
  <c r="G25" i="1"/>
  <c r="F14" i="1"/>
  <c r="F16" i="1"/>
  <c r="F15" i="1"/>
  <c r="F13" i="1"/>
  <c r="F11" i="1"/>
  <c r="F10" i="1"/>
  <c r="E9" i="1"/>
  <c r="F12" i="1"/>
  <c r="F17" i="1"/>
  <c r="F18" i="1"/>
  <c r="F19" i="1"/>
  <c r="F20" i="1"/>
  <c r="F21" i="1"/>
  <c r="F9" i="1"/>
  <c r="H25" i="1" l="1"/>
  <c r="E13" i="1"/>
  <c r="E14" i="1" s="1"/>
  <c r="E15" i="1" s="1"/>
  <c r="E16" i="1" s="1"/>
  <c r="E17" i="1" s="1"/>
  <c r="E18" i="1" s="1"/>
  <c r="E19" i="1" s="1"/>
  <c r="E20" i="1" s="1"/>
  <c r="E21" i="1" s="1"/>
  <c r="F25" i="1"/>
</calcChain>
</file>

<file path=xl/sharedStrings.xml><?xml version="1.0" encoding="utf-8"?>
<sst xmlns="http://schemas.openxmlformats.org/spreadsheetml/2006/main" count="41" uniqueCount="34">
  <si>
    <t>Date</t>
  </si>
  <si>
    <t>Ref. No</t>
  </si>
  <si>
    <t>Credit</t>
  </si>
  <si>
    <t>Debit</t>
  </si>
  <si>
    <t>Balance</t>
  </si>
  <si>
    <t>No. of Days</t>
  </si>
  <si>
    <t>Interest Amount</t>
  </si>
  <si>
    <t>op. Bal</t>
  </si>
  <si>
    <t>SAM/PS/1612</t>
  </si>
  <si>
    <t>SAM/PS/2548</t>
  </si>
  <si>
    <t>SAM/PS/2878</t>
  </si>
  <si>
    <t>SAM/PS/2211</t>
  </si>
  <si>
    <t>SAM/PS/3504</t>
  </si>
  <si>
    <t>SAM/PS/4378</t>
  </si>
  <si>
    <t>SAM/PS/5154</t>
  </si>
  <si>
    <t>SAM/PS/6167</t>
  </si>
  <si>
    <t>SAM/PS/6426</t>
  </si>
  <si>
    <t>SAM/PS/7492</t>
  </si>
  <si>
    <t>JOJIBABU AGENCIES</t>
  </si>
  <si>
    <t>Gurram Srinu S/O Venkateswarlu, Chagallu</t>
  </si>
  <si>
    <t>SAM/PS/7761</t>
  </si>
  <si>
    <t>SAM/PS/5455</t>
  </si>
  <si>
    <t>Totals:</t>
  </si>
  <si>
    <t>Total Outstanding</t>
  </si>
  <si>
    <t>Add: Interest Amount</t>
  </si>
  <si>
    <t>:</t>
  </si>
  <si>
    <t xml:space="preserve">Grand Total </t>
  </si>
  <si>
    <t>-----------------------------------------------------------</t>
  </si>
  <si>
    <t>Dr</t>
  </si>
  <si>
    <t>-----------------------------------------------------------------------------------------------------------------------</t>
  </si>
  <si>
    <t>Date Range From : 01/04/2024 To 20/02/2025</t>
  </si>
  <si>
    <t>RAVIPADU - 522 603 , PALNADU DIST.</t>
  </si>
  <si>
    <t>A/C NAME:</t>
  </si>
  <si>
    <t>Interest Details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</si>
</sst>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0" xfId="0" applyFont="1"/>
    <xf numFmtId="0" fontId="1" fillId="0" borderId="0" xfId="0" quotePrefix="1" applyFo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AE7B-9015-4F0A-A643-DD4FC009D4E9}">
  <dimension ref="A1:H30"/>
  <sheetViews>
    <sheetView tabSelected="1" topLeftCell="A7" workbookViewId="0">
      <selection activeCell="H9" sqref="H9"/>
    </sheetView>
  </sheetViews>
  <sheetFormatPr defaultRowHeight="14.4" x14ac:dyDescent="0.3"/>
  <cols>
    <col min="1" max="1" width="10.33203125" bestFit="1" customWidth="1"/>
    <col min="2" max="2" width="12.109375" bestFit="1" customWidth="1"/>
    <col min="6" max="6" width="10.33203125" bestFit="1" customWidth="1"/>
    <col min="7" max="7" width="11.5546875" bestFit="1" customWidth="1"/>
    <col min="8" max="8" width="21.6640625" bestFit="1" customWidth="1"/>
  </cols>
  <sheetData>
    <row r="1" spans="1:8" x14ac:dyDescent="0.3">
      <c r="B1" s="8" t="s">
        <v>18</v>
      </c>
      <c r="C1" s="7"/>
      <c r="D1" s="7"/>
      <c r="E1" s="7"/>
      <c r="F1" s="7"/>
    </row>
    <row r="2" spans="1:8" x14ac:dyDescent="0.3">
      <c r="B2" s="12"/>
      <c r="C2" s="12" t="s">
        <v>31</v>
      </c>
      <c r="D2" s="12"/>
      <c r="E2" s="12"/>
      <c r="F2" s="6"/>
    </row>
    <row r="3" spans="1:8" x14ac:dyDescent="0.3">
      <c r="B3" s="12"/>
      <c r="C3" s="12" t="s">
        <v>33</v>
      </c>
      <c r="D3" s="12"/>
      <c r="E3" s="12"/>
      <c r="F3" s="6"/>
    </row>
    <row r="4" spans="1:8" x14ac:dyDescent="0.3">
      <c r="A4" s="10" t="s">
        <v>32</v>
      </c>
      <c r="B4" s="13" t="s">
        <v>19</v>
      </c>
      <c r="C4" s="13"/>
      <c r="D4" s="13"/>
      <c r="E4" s="13"/>
      <c r="F4" s="6"/>
    </row>
    <row r="5" spans="1:8" x14ac:dyDescent="0.3">
      <c r="A5" s="11" t="s">
        <v>30</v>
      </c>
      <c r="B5" s="6"/>
      <c r="C5" s="6"/>
      <c r="D5" s="6"/>
      <c r="E5" s="6"/>
    </row>
    <row r="6" spans="1:8" x14ac:dyDescent="0.3">
      <c r="A6" s="11" t="s">
        <v>29</v>
      </c>
      <c r="B6" s="6"/>
      <c r="C6" s="6"/>
      <c r="D6" s="6"/>
      <c r="E6" s="6"/>
    </row>
    <row r="7" spans="1:8" ht="28.8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8" x14ac:dyDescent="0.3">
      <c r="A8" s="11" t="s">
        <v>29</v>
      </c>
      <c r="B8" s="6"/>
      <c r="C8" s="6"/>
      <c r="D8" s="6"/>
      <c r="E8" s="6"/>
    </row>
    <row r="9" spans="1:8" x14ac:dyDescent="0.3">
      <c r="A9" s="2">
        <v>45383</v>
      </c>
      <c r="B9" s="3" t="s">
        <v>7</v>
      </c>
      <c r="C9" s="3">
        <v>0</v>
      </c>
      <c r="D9" s="3">
        <v>0</v>
      </c>
      <c r="E9" s="1">
        <f>D9-C9</f>
        <v>0</v>
      </c>
      <c r="F9" s="3">
        <f>A10-A9</f>
        <v>183</v>
      </c>
      <c r="G9" s="3">
        <v>0</v>
      </c>
      <c r="H9">
        <f>IF(F9&gt;0, ROUND((E9*(2/30)*F9)/100,2), 0)</f>
        <v>0</v>
      </c>
    </row>
    <row r="10" spans="1:8" x14ac:dyDescent="0.3">
      <c r="A10" s="4">
        <v>45566</v>
      </c>
      <c r="B10" s="3" t="s">
        <v>8</v>
      </c>
      <c r="C10" s="3"/>
      <c r="D10" s="5">
        <v>550</v>
      </c>
      <c r="E10" s="3">
        <f>D10-C10+E9</f>
        <v>550</v>
      </c>
      <c r="F10" s="3">
        <f>A11-A10</f>
        <v>16</v>
      </c>
      <c r="G10" s="3">
        <v>5.87</v>
      </c>
      <c r="H10">
        <f t="shared" ref="H10:H22" si="0">IF(F10&gt;0, ROUND((E10*(2/30)*F10)/100,2), 0)</f>
        <v>5.87</v>
      </c>
    </row>
    <row r="11" spans="1:8" x14ac:dyDescent="0.3">
      <c r="A11" s="4">
        <v>45582</v>
      </c>
      <c r="B11" s="3" t="s">
        <v>11</v>
      </c>
      <c r="C11" s="3"/>
      <c r="D11" s="5">
        <v>900</v>
      </c>
      <c r="E11" s="3">
        <f t="shared" ref="E11:E21" si="1">D11-C11+E10</f>
        <v>1450</v>
      </c>
      <c r="F11" s="3">
        <f>A12-A11</f>
        <v>8</v>
      </c>
      <c r="G11" s="3">
        <v>7.73</v>
      </c>
      <c r="H11">
        <f t="shared" si="0"/>
        <v>7.73</v>
      </c>
    </row>
    <row r="12" spans="1:8" x14ac:dyDescent="0.3">
      <c r="A12" s="4">
        <v>45590</v>
      </c>
      <c r="B12" s="3" t="s">
        <v>9</v>
      </c>
      <c r="C12" s="3"/>
      <c r="D12" s="5">
        <v>1150</v>
      </c>
      <c r="E12" s="3">
        <f t="shared" si="1"/>
        <v>2600</v>
      </c>
      <c r="F12" s="3">
        <f>A13-A12</f>
        <v>7</v>
      </c>
      <c r="G12" s="3">
        <v>12.13</v>
      </c>
      <c r="H12">
        <f t="shared" si="0"/>
        <v>12.13</v>
      </c>
    </row>
    <row r="13" spans="1:8" x14ac:dyDescent="0.3">
      <c r="A13" s="4">
        <v>45597</v>
      </c>
      <c r="B13" s="3" t="s">
        <v>10</v>
      </c>
      <c r="C13" s="3"/>
      <c r="D13" s="5">
        <v>2020</v>
      </c>
      <c r="E13" s="3">
        <f t="shared" si="1"/>
        <v>4620</v>
      </c>
      <c r="F13" s="3">
        <f>A14-A13</f>
        <v>11</v>
      </c>
      <c r="G13" s="3">
        <v>33.880000000000003</v>
      </c>
      <c r="H13">
        <f t="shared" si="0"/>
        <v>33.880000000000003</v>
      </c>
    </row>
    <row r="14" spans="1:8" x14ac:dyDescent="0.3">
      <c r="A14" s="4">
        <v>45608</v>
      </c>
      <c r="B14" s="3" t="s">
        <v>12</v>
      </c>
      <c r="C14" s="3"/>
      <c r="D14" s="5">
        <v>2000</v>
      </c>
      <c r="E14" s="3">
        <f t="shared" si="1"/>
        <v>6620</v>
      </c>
      <c r="F14" s="3">
        <f>A15-A14</f>
        <v>14</v>
      </c>
      <c r="G14" s="3">
        <v>61.79</v>
      </c>
      <c r="H14">
        <f t="shared" si="0"/>
        <v>61.79</v>
      </c>
    </row>
    <row r="15" spans="1:8" x14ac:dyDescent="0.3">
      <c r="A15" s="4">
        <v>45622</v>
      </c>
      <c r="B15" s="3" t="s">
        <v>13</v>
      </c>
      <c r="C15" s="5"/>
      <c r="D15" s="5">
        <v>2150</v>
      </c>
      <c r="E15" s="3">
        <f t="shared" si="1"/>
        <v>8770</v>
      </c>
      <c r="F15" s="3">
        <f>A16-A15</f>
        <v>12</v>
      </c>
      <c r="G15" s="5">
        <v>70.16</v>
      </c>
      <c r="H15">
        <f t="shared" si="0"/>
        <v>70.16</v>
      </c>
    </row>
    <row r="16" spans="1:8" x14ac:dyDescent="0.3">
      <c r="A16" s="4">
        <v>45634</v>
      </c>
      <c r="B16" s="3" t="s">
        <v>14</v>
      </c>
      <c r="C16" s="5"/>
      <c r="D16" s="5">
        <v>2120</v>
      </c>
      <c r="E16" s="3">
        <f t="shared" si="1"/>
        <v>10890</v>
      </c>
      <c r="F16" s="3">
        <f>A17-A16</f>
        <v>5</v>
      </c>
      <c r="G16" s="5">
        <v>36.299999999999997</v>
      </c>
      <c r="H16">
        <f t="shared" si="0"/>
        <v>36.299999999999997</v>
      </c>
    </row>
    <row r="17" spans="1:8" x14ac:dyDescent="0.3">
      <c r="A17" s="4">
        <v>45639</v>
      </c>
      <c r="B17" s="3" t="s">
        <v>21</v>
      </c>
      <c r="C17" s="5"/>
      <c r="D17" s="5">
        <v>2100</v>
      </c>
      <c r="E17" s="3">
        <f t="shared" si="1"/>
        <v>12990</v>
      </c>
      <c r="F17" s="3">
        <f>A18-A17</f>
        <v>12</v>
      </c>
      <c r="G17" s="5">
        <v>103.92</v>
      </c>
      <c r="H17">
        <f t="shared" si="0"/>
        <v>103.92</v>
      </c>
    </row>
    <row r="18" spans="1:8" x14ac:dyDescent="0.3">
      <c r="A18" s="4">
        <v>45651</v>
      </c>
      <c r="B18" s="3" t="s">
        <v>15</v>
      </c>
      <c r="C18" s="5"/>
      <c r="D18" s="5">
        <v>2130</v>
      </c>
      <c r="E18" s="3">
        <f t="shared" si="1"/>
        <v>15120</v>
      </c>
      <c r="F18" s="3">
        <f>A19-A18</f>
        <v>6</v>
      </c>
      <c r="G18" s="5">
        <v>60.48</v>
      </c>
      <c r="H18">
        <f t="shared" si="0"/>
        <v>60.48</v>
      </c>
    </row>
    <row r="19" spans="1:8" x14ac:dyDescent="0.3">
      <c r="A19" s="4">
        <v>45657</v>
      </c>
      <c r="B19" s="3" t="s">
        <v>16</v>
      </c>
      <c r="C19" s="5"/>
      <c r="D19" s="5">
        <v>1750</v>
      </c>
      <c r="E19" s="3">
        <f t="shared" si="1"/>
        <v>16870</v>
      </c>
      <c r="F19" s="3">
        <f>A20-A19</f>
        <v>25</v>
      </c>
      <c r="G19" s="5">
        <v>281.17</v>
      </c>
      <c r="H19">
        <f t="shared" si="0"/>
        <v>281.17</v>
      </c>
    </row>
    <row r="20" spans="1:8" x14ac:dyDescent="0.3">
      <c r="A20" s="4">
        <v>45682</v>
      </c>
      <c r="B20" s="3" t="s">
        <v>17</v>
      </c>
      <c r="C20" s="5"/>
      <c r="D20" s="5">
        <v>1700</v>
      </c>
      <c r="E20" s="3">
        <f t="shared" si="1"/>
        <v>18570</v>
      </c>
      <c r="F20" s="3">
        <f>A21-A20</f>
        <v>7</v>
      </c>
      <c r="G20" s="5">
        <v>86.66</v>
      </c>
      <c r="H20">
        <f t="shared" si="0"/>
        <v>86.66</v>
      </c>
    </row>
    <row r="21" spans="1:8" x14ac:dyDescent="0.3">
      <c r="A21" s="4">
        <v>45689</v>
      </c>
      <c r="B21" s="3" t="s">
        <v>20</v>
      </c>
      <c r="C21" s="5"/>
      <c r="D21" s="5">
        <v>570</v>
      </c>
      <c r="E21" s="3">
        <f t="shared" si="1"/>
        <v>19140</v>
      </c>
      <c r="F21" s="3">
        <f>A22-A21</f>
        <v>19</v>
      </c>
      <c r="G21" s="5">
        <v>242.44</v>
      </c>
      <c r="H21">
        <f t="shared" si="0"/>
        <v>242.44</v>
      </c>
    </row>
    <row r="22" spans="1:8" x14ac:dyDescent="0.3">
      <c r="A22" s="4">
        <v>45708</v>
      </c>
      <c r="B22" s="3"/>
      <c r="C22" s="5"/>
      <c r="D22" s="5"/>
      <c r="E22" s="3"/>
      <c r="F22" s="3"/>
      <c r="G22" s="5">
        <v>0</v>
      </c>
      <c r="H22">
        <f t="shared" si="0"/>
        <v>0</v>
      </c>
    </row>
    <row r="23" spans="1:8" x14ac:dyDescent="0.3">
      <c r="A23" s="4"/>
      <c r="B23" s="3"/>
      <c r="C23" s="5"/>
      <c r="D23" s="5"/>
      <c r="E23" s="3"/>
      <c r="F23" s="3"/>
      <c r="G23" s="5"/>
    </row>
    <row r="24" spans="1:8" x14ac:dyDescent="0.3">
      <c r="A24" s="11" t="s">
        <v>29</v>
      </c>
      <c r="B24" s="6"/>
      <c r="C24" s="6"/>
      <c r="D24" s="6"/>
      <c r="E24" s="6"/>
    </row>
    <row r="25" spans="1:8" x14ac:dyDescent="0.3">
      <c r="A25" t="s">
        <v>22</v>
      </c>
      <c r="C25">
        <v>0</v>
      </c>
      <c r="E25">
        <v>19140</v>
      </c>
      <c r="F25">
        <f>SUM(F9:F21)</f>
        <v>325</v>
      </c>
      <c r="G25">
        <f>SUM(G9:G22)</f>
        <v>1002.53</v>
      </c>
      <c r="H25">
        <f>SUM(H9:H22)</f>
        <v>1002.53</v>
      </c>
    </row>
    <row r="26" spans="1:8" x14ac:dyDescent="0.3">
      <c r="A26" s="11" t="s">
        <v>29</v>
      </c>
      <c r="B26" s="6"/>
      <c r="C26" s="6"/>
      <c r="D26" s="6"/>
      <c r="E26" s="6"/>
    </row>
    <row r="27" spans="1:8" x14ac:dyDescent="0.3">
      <c r="B27" t="s">
        <v>23</v>
      </c>
      <c r="D27" t="s">
        <v>25</v>
      </c>
      <c r="E27" s="9">
        <v>19140</v>
      </c>
      <c r="F27" t="s">
        <v>28</v>
      </c>
    </row>
    <row r="28" spans="1:8" x14ac:dyDescent="0.3">
      <c r="B28" t="s">
        <v>24</v>
      </c>
      <c r="D28" t="s">
        <v>25</v>
      </c>
      <c r="E28">
        <v>1002.53</v>
      </c>
      <c r="F28" t="s">
        <v>28</v>
      </c>
    </row>
    <row r="29" spans="1:8" x14ac:dyDescent="0.3">
      <c r="D29" s="11" t="s">
        <v>27</v>
      </c>
    </row>
    <row r="30" spans="1:8" x14ac:dyDescent="0.3">
      <c r="B30" t="s">
        <v>26</v>
      </c>
      <c r="D30" t="s">
        <v>25</v>
      </c>
      <c r="E30" s="9">
        <v>20142.53</v>
      </c>
      <c r="F30" t="s">
        <v>28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Sidhu Gorantla</dc:creator>
  <cp:lastModifiedBy>Sidhu Gorantla</cp:lastModifiedBy>
  <cp:lastPrinted>2025-02-25T03:11:02Z</cp:lastPrinted>
  <dcterms:created xsi:type="dcterms:W3CDTF">2025-02-20T07:57:40Z</dcterms:created>
  <dcterms:modified xsi:type="dcterms:W3CDTF">2025-02-25T03:42:25Z</dcterms:modified>
</cp:coreProperties>
</file>