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0b6d5b2e29a2b964/Documents/"/>
    </mc:Choice>
  </mc:AlternateContent>
  <xr:revisionPtr revIDLastSave="0" documentId="8_{FB45A1C7-DAD1-419E-903B-3FCAAD0582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R Trading" sheetId="1" r:id="rId1"/>
    <sheet name="Bullish" sheetId="2" r:id="rId2"/>
    <sheet name="Bearis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99" i="1" l="1"/>
  <c r="AQ101" i="1" s="1"/>
  <c r="AM99" i="1"/>
  <c r="AM101" i="1" s="1"/>
  <c r="AH99" i="1"/>
  <c r="AH101" i="1" s="1"/>
  <c r="AD99" i="1"/>
  <c r="AD101" i="1" s="1"/>
  <c r="Y99" i="1"/>
  <c r="Y101" i="1" s="1"/>
  <c r="U99" i="1"/>
  <c r="U101" i="1" s="1"/>
  <c r="P99" i="1"/>
  <c r="P101" i="1" s="1"/>
  <c r="L99" i="1"/>
  <c r="L101" i="1" s="1"/>
  <c r="G99" i="1"/>
  <c r="G101" i="1" s="1"/>
  <c r="C99" i="1"/>
  <c r="C101" i="1" s="1"/>
  <c r="AQ89" i="1"/>
  <c r="AQ90" i="1" s="1"/>
  <c r="AM89" i="1"/>
  <c r="AH89" i="1"/>
  <c r="AH90" i="1" s="1"/>
  <c r="AD89" i="1"/>
  <c r="AD90" i="1" s="1"/>
  <c r="Y89" i="1"/>
  <c r="Y90" i="1" s="1"/>
  <c r="U89" i="1"/>
  <c r="P89" i="1"/>
  <c r="P90" i="1" s="1"/>
  <c r="L89" i="1"/>
  <c r="L90" i="1" s="1"/>
  <c r="G89" i="1"/>
  <c r="G90" i="1" s="1"/>
  <c r="C89" i="1"/>
  <c r="AQ83" i="1"/>
  <c r="AQ85" i="1" s="1"/>
  <c r="AM83" i="1"/>
  <c r="AM90" i="1" s="1"/>
  <c r="AH83" i="1"/>
  <c r="AH84" i="1" s="1"/>
  <c r="AD83" i="1"/>
  <c r="AD84" i="1" s="1"/>
  <c r="Y83" i="1"/>
  <c r="Y85" i="1" s="1"/>
  <c r="U83" i="1"/>
  <c r="U90" i="1" s="1"/>
  <c r="P83" i="1"/>
  <c r="P84" i="1" s="1"/>
  <c r="L83" i="1"/>
  <c r="L84" i="1" s="1"/>
  <c r="G83" i="1"/>
  <c r="G85" i="1" s="1"/>
  <c r="C83" i="1"/>
  <c r="C90" i="1" s="1"/>
  <c r="AQ82" i="1"/>
  <c r="AM82" i="1"/>
  <c r="AH82" i="1"/>
  <c r="AD82" i="1"/>
  <c r="Y82" i="1"/>
  <c r="U82" i="1"/>
  <c r="P82" i="1"/>
  <c r="L82" i="1"/>
  <c r="G82" i="1"/>
  <c r="C82" i="1"/>
  <c r="AQ81" i="1"/>
  <c r="AM81" i="1"/>
  <c r="AH81" i="1"/>
  <c r="AD81" i="1"/>
  <c r="Y81" i="1"/>
  <c r="U81" i="1"/>
  <c r="P81" i="1"/>
  <c r="L81" i="1"/>
  <c r="G81" i="1"/>
  <c r="C81" i="1"/>
  <c r="AQ40" i="1"/>
  <c r="AQ42" i="1" s="1"/>
  <c r="AM40" i="1"/>
  <c r="AM42" i="1" s="1"/>
  <c r="AH40" i="1"/>
  <c r="AH42" i="1" s="1"/>
  <c r="AD40" i="1"/>
  <c r="AD42" i="1" s="1"/>
  <c r="Y40" i="1"/>
  <c r="Y42" i="1" s="1"/>
  <c r="U40" i="1"/>
  <c r="U42" i="1" s="1"/>
  <c r="P40" i="1"/>
  <c r="P42" i="1" s="1"/>
  <c r="L40" i="1"/>
  <c r="L42" i="1" s="1"/>
  <c r="G40" i="1"/>
  <c r="G42" i="1" s="1"/>
  <c r="C40" i="1"/>
  <c r="C42" i="1" s="1"/>
  <c r="AQ30" i="1"/>
  <c r="AQ31" i="1" s="1"/>
  <c r="AM30" i="1"/>
  <c r="AM31" i="1" s="1"/>
  <c r="AH30" i="1"/>
  <c r="AH31" i="1" s="1"/>
  <c r="AD30" i="1"/>
  <c r="AD31" i="1" s="1"/>
  <c r="Y30" i="1"/>
  <c r="Y31" i="1" s="1"/>
  <c r="U30" i="1"/>
  <c r="U31" i="1" s="1"/>
  <c r="P30" i="1"/>
  <c r="P31" i="1" s="1"/>
  <c r="L30" i="1"/>
  <c r="L31" i="1" s="1"/>
  <c r="G30" i="1"/>
  <c r="G31" i="1" s="1"/>
  <c r="C30" i="1"/>
  <c r="C31" i="1" s="1"/>
  <c r="AQ24" i="1"/>
  <c r="AQ26" i="1" s="1"/>
  <c r="AM24" i="1"/>
  <c r="AM25" i="1" s="1"/>
  <c r="AH24" i="1"/>
  <c r="AH25" i="1" s="1"/>
  <c r="AD24" i="1"/>
  <c r="AD26" i="1" s="1"/>
  <c r="Y24" i="1"/>
  <c r="Y25" i="1" s="1"/>
  <c r="U24" i="1"/>
  <c r="U25" i="1" s="1"/>
  <c r="P24" i="1"/>
  <c r="P26" i="1" s="1"/>
  <c r="L24" i="1"/>
  <c r="L26" i="1" s="1"/>
  <c r="G24" i="1"/>
  <c r="G26" i="1" s="1"/>
  <c r="C24" i="1"/>
  <c r="C25" i="1" s="1"/>
  <c r="AQ23" i="1"/>
  <c r="AM23" i="1"/>
  <c r="AH23" i="1"/>
  <c r="AD23" i="1"/>
  <c r="Y23" i="1"/>
  <c r="U23" i="1"/>
  <c r="P23" i="1"/>
  <c r="L23" i="1"/>
  <c r="G23" i="1"/>
  <c r="C23" i="1"/>
  <c r="AQ22" i="1"/>
  <c r="AM22" i="1"/>
  <c r="AH22" i="1"/>
  <c r="AD22" i="1"/>
  <c r="Y22" i="1"/>
  <c r="U22" i="1"/>
  <c r="P22" i="1"/>
  <c r="L22" i="1"/>
  <c r="G22" i="1"/>
  <c r="C22" i="1"/>
  <c r="M101" i="1" l="1"/>
  <c r="L104" i="1"/>
  <c r="L106" i="1" s="1"/>
  <c r="L105" i="1"/>
  <c r="L107" i="1" s="1"/>
  <c r="L103" i="1"/>
  <c r="AE101" i="1"/>
  <c r="AD104" i="1"/>
  <c r="AD106" i="1" s="1"/>
  <c r="AD105" i="1"/>
  <c r="AD107" i="1" s="1"/>
  <c r="AD103" i="1"/>
  <c r="L37" i="1"/>
  <c r="L33" i="1"/>
  <c r="AD37" i="1"/>
  <c r="AD33" i="1"/>
  <c r="U45" i="1"/>
  <c r="U47" i="1" s="1"/>
  <c r="V42" i="1"/>
  <c r="U46" i="1"/>
  <c r="U48" i="1" s="1"/>
  <c r="U44" i="1"/>
  <c r="P33" i="1"/>
  <c r="P37" i="1"/>
  <c r="AH37" i="1"/>
  <c r="AH33" i="1"/>
  <c r="H42" i="1"/>
  <c r="G46" i="1"/>
  <c r="G48" i="1" s="1"/>
  <c r="G44" i="1"/>
  <c r="G45" i="1"/>
  <c r="G47" i="1" s="1"/>
  <c r="Y45" i="1"/>
  <c r="Y47" i="1" s="1"/>
  <c r="Z42" i="1"/>
  <c r="Y46" i="1"/>
  <c r="Y48" i="1" s="1"/>
  <c r="Y44" i="1"/>
  <c r="AR42" i="1"/>
  <c r="AQ46" i="1"/>
  <c r="AQ48" i="1" s="1"/>
  <c r="AQ44" i="1"/>
  <c r="AQ45" i="1"/>
  <c r="AQ47" i="1" s="1"/>
  <c r="G96" i="1"/>
  <c r="G92" i="1"/>
  <c r="Y96" i="1"/>
  <c r="Y92" i="1"/>
  <c r="AQ96" i="1"/>
  <c r="AQ92" i="1"/>
  <c r="P104" i="1"/>
  <c r="P106" i="1" s="1"/>
  <c r="P105" i="1"/>
  <c r="P107" i="1" s="1"/>
  <c r="P103" i="1"/>
  <c r="Q101" i="1"/>
  <c r="AH104" i="1"/>
  <c r="AH106" i="1" s="1"/>
  <c r="AH105" i="1"/>
  <c r="AH107" i="1" s="1"/>
  <c r="AH103" i="1"/>
  <c r="AI101" i="1"/>
  <c r="C33" i="1"/>
  <c r="C37" i="1"/>
  <c r="U33" i="1"/>
  <c r="U37" i="1"/>
  <c r="AM33" i="1"/>
  <c r="AM37" i="1"/>
  <c r="L46" i="1"/>
  <c r="L48" i="1" s="1"/>
  <c r="L44" i="1"/>
  <c r="M42" i="1"/>
  <c r="L45" i="1"/>
  <c r="L47" i="1" s="1"/>
  <c r="AD46" i="1"/>
  <c r="AD48" i="1" s="1"/>
  <c r="AD44" i="1"/>
  <c r="AE42" i="1"/>
  <c r="AD45" i="1"/>
  <c r="AD47" i="1" s="1"/>
  <c r="C96" i="1"/>
  <c r="C92" i="1"/>
  <c r="U96" i="1"/>
  <c r="U92" i="1"/>
  <c r="AM96" i="1"/>
  <c r="AM92" i="1"/>
  <c r="L92" i="1"/>
  <c r="L96" i="1"/>
  <c r="AD92" i="1"/>
  <c r="AD96" i="1"/>
  <c r="D101" i="1"/>
  <c r="C105" i="1"/>
  <c r="C107" i="1" s="1"/>
  <c r="C103" i="1"/>
  <c r="C104" i="1"/>
  <c r="C106" i="1" s="1"/>
  <c r="V101" i="1"/>
  <c r="U105" i="1"/>
  <c r="U107" i="1" s="1"/>
  <c r="U103" i="1"/>
  <c r="U104" i="1"/>
  <c r="U106" i="1" s="1"/>
  <c r="AN101" i="1"/>
  <c r="AM105" i="1"/>
  <c r="AM107" i="1" s="1"/>
  <c r="AM103" i="1"/>
  <c r="AM104" i="1"/>
  <c r="AM106" i="1" s="1"/>
  <c r="C45" i="1"/>
  <c r="C47" i="1" s="1"/>
  <c r="D42" i="1"/>
  <c r="C46" i="1"/>
  <c r="C48" i="1" s="1"/>
  <c r="C44" i="1"/>
  <c r="AM45" i="1"/>
  <c r="AM47" i="1" s="1"/>
  <c r="AN42" i="1"/>
  <c r="AM46" i="1"/>
  <c r="AM48" i="1" s="1"/>
  <c r="AM44" i="1"/>
  <c r="G37" i="1"/>
  <c r="G33" i="1"/>
  <c r="Y33" i="1"/>
  <c r="Y37" i="1"/>
  <c r="AQ37" i="1"/>
  <c r="AQ33" i="1"/>
  <c r="P45" i="1"/>
  <c r="P47" i="1" s="1"/>
  <c r="P46" i="1"/>
  <c r="P48" i="1" s="1"/>
  <c r="P44" i="1"/>
  <c r="Q42" i="1"/>
  <c r="AH46" i="1"/>
  <c r="AH48" i="1" s="1"/>
  <c r="AH44" i="1"/>
  <c r="AH45" i="1"/>
  <c r="AH47" i="1" s="1"/>
  <c r="AI42" i="1"/>
  <c r="P92" i="1"/>
  <c r="P96" i="1"/>
  <c r="AH92" i="1"/>
  <c r="AH96" i="1"/>
  <c r="G105" i="1"/>
  <c r="G107" i="1" s="1"/>
  <c r="G103" i="1"/>
  <c r="G104" i="1"/>
  <c r="G106" i="1" s="1"/>
  <c r="H101" i="1"/>
  <c r="Y105" i="1"/>
  <c r="Y107" i="1" s="1"/>
  <c r="Y103" i="1"/>
  <c r="Y104" i="1"/>
  <c r="Y106" i="1" s="1"/>
  <c r="Z101" i="1"/>
  <c r="AQ105" i="1"/>
  <c r="AQ107" i="1" s="1"/>
  <c r="AQ103" i="1"/>
  <c r="AQ104" i="1"/>
  <c r="AQ106" i="1" s="1"/>
  <c r="AR101" i="1"/>
  <c r="G25" i="1"/>
  <c r="AQ25" i="1"/>
  <c r="AH26" i="1"/>
  <c r="L25" i="1"/>
  <c r="AD25" i="1"/>
  <c r="C26" i="1"/>
  <c r="U26" i="1"/>
  <c r="AM26" i="1"/>
  <c r="C84" i="1"/>
  <c r="U84" i="1"/>
  <c r="AM84" i="1"/>
  <c r="L85" i="1"/>
  <c r="AD85" i="1"/>
  <c r="Y26" i="1"/>
  <c r="G84" i="1"/>
  <c r="Y84" i="1"/>
  <c r="AQ84" i="1"/>
  <c r="P85" i="1"/>
  <c r="AH85" i="1"/>
  <c r="P25" i="1"/>
  <c r="C85" i="1"/>
  <c r="U85" i="1"/>
  <c r="AM85" i="1"/>
</calcChain>
</file>

<file path=xl/sharedStrings.xml><?xml version="1.0" encoding="utf-8"?>
<sst xmlns="http://schemas.openxmlformats.org/spreadsheetml/2006/main" count="850" uniqueCount="227">
  <si>
    <t>Trade 1</t>
  </si>
  <si>
    <t>Trade 2</t>
  </si>
  <si>
    <t>Trade 3</t>
  </si>
  <si>
    <t>Trade 4</t>
  </si>
  <si>
    <t>Trade 5</t>
  </si>
  <si>
    <t>Date</t>
  </si>
  <si>
    <t>Frame</t>
  </si>
  <si>
    <t>Stock Name</t>
  </si>
  <si>
    <t>Stock Story Decision</t>
  </si>
  <si>
    <t>MACD-OSC Decision</t>
  </si>
  <si>
    <t>Bullish Trade</t>
  </si>
  <si>
    <t>Bearish Trade</t>
  </si>
  <si>
    <t>Trade Using</t>
  </si>
  <si>
    <t>Fib Retracement (Only For Continuation pattern)</t>
  </si>
  <si>
    <t>Bollinger Band Status (BB)</t>
  </si>
  <si>
    <t>ADX/Directional Moving Index</t>
  </si>
  <si>
    <t>EMAs (Ignore In Morning/Evening Star or Double Top/Bottom)
for Bulls : Support at Rising EMAs</t>
  </si>
  <si>
    <t>EMAs (Ignore In Morning/Evening Star or Double Top/Bottom)
for Bears : Resistance at Declining EMAs</t>
  </si>
  <si>
    <t>Price at the Close Of Entry Candle</t>
  </si>
  <si>
    <t xml:space="preserve">Target Price </t>
  </si>
  <si>
    <t>Min.</t>
  </si>
  <si>
    <t>Max.</t>
  </si>
  <si>
    <t>Stop Loss Price (SL)</t>
  </si>
  <si>
    <r>
      <rPr>
        <b/>
        <sz val="11"/>
        <color theme="1"/>
        <rFont val="Verdana"/>
      </rPr>
      <t xml:space="preserve">Reward (Min )
</t>
    </r>
    <r>
      <rPr>
        <sz val="11"/>
        <color theme="1"/>
        <rFont val="Verdana"/>
      </rPr>
      <t xml:space="preserve">for Bulls : Target min - Cost
</t>
    </r>
  </si>
  <si>
    <r>
      <rPr>
        <b/>
        <sz val="11"/>
        <color theme="1"/>
        <rFont val="Verdana"/>
      </rPr>
      <t>Reward (Min )</t>
    </r>
    <r>
      <rPr>
        <sz val="11"/>
        <color theme="1"/>
        <rFont val="Verdana"/>
      </rPr>
      <t xml:space="preserve">
for Bears :Cost - Target min</t>
    </r>
  </si>
  <si>
    <r>
      <rPr>
        <b/>
        <sz val="11"/>
        <color theme="1"/>
        <rFont val="Verdana"/>
      </rPr>
      <t xml:space="preserve">Reward (Min )
</t>
    </r>
    <r>
      <rPr>
        <sz val="11"/>
        <color theme="1"/>
        <rFont val="Verdana"/>
      </rPr>
      <t xml:space="preserve">for Bulls : Target min - Cost
</t>
    </r>
  </si>
  <si>
    <r>
      <rPr>
        <b/>
        <sz val="11"/>
        <color theme="1"/>
        <rFont val="Verdana"/>
      </rPr>
      <t>Reward (Min )</t>
    </r>
    <r>
      <rPr>
        <sz val="11"/>
        <color theme="1"/>
        <rFont val="Verdana"/>
      </rPr>
      <t xml:space="preserve">
for Bears :Cost - Target min</t>
    </r>
  </si>
  <si>
    <r>
      <rPr>
        <b/>
        <sz val="11"/>
        <color theme="1"/>
        <rFont val="Verdana"/>
      </rPr>
      <t xml:space="preserve">Reward (Min )
</t>
    </r>
    <r>
      <rPr>
        <sz val="11"/>
        <color theme="1"/>
        <rFont val="Verdana"/>
      </rPr>
      <t xml:space="preserve">for Bulls : Target min - Cost
</t>
    </r>
  </si>
  <si>
    <r>
      <rPr>
        <b/>
        <sz val="11"/>
        <color theme="1"/>
        <rFont val="Verdana"/>
      </rPr>
      <t>Reward (Min )</t>
    </r>
    <r>
      <rPr>
        <sz val="11"/>
        <color theme="1"/>
        <rFont val="Verdana"/>
      </rPr>
      <t xml:space="preserve">
for Bears :Cost - Target min</t>
    </r>
  </si>
  <si>
    <r>
      <rPr>
        <b/>
        <sz val="11"/>
        <color theme="1"/>
        <rFont val="Verdana"/>
      </rPr>
      <t xml:space="preserve">Reward (Min )
</t>
    </r>
    <r>
      <rPr>
        <sz val="11"/>
        <color theme="1"/>
        <rFont val="Verdana"/>
      </rPr>
      <t xml:space="preserve">for Bulls : Target min - Cost
</t>
    </r>
  </si>
  <si>
    <r>
      <rPr>
        <b/>
        <sz val="11"/>
        <color theme="1"/>
        <rFont val="Verdana"/>
      </rPr>
      <t>Reward (Min )</t>
    </r>
    <r>
      <rPr>
        <sz val="11"/>
        <color theme="1"/>
        <rFont val="Verdana"/>
      </rPr>
      <t xml:space="preserve">
for Bears :Cost - Target min</t>
    </r>
  </si>
  <si>
    <r>
      <rPr>
        <b/>
        <sz val="11"/>
        <color theme="1"/>
        <rFont val="Verdana"/>
      </rPr>
      <t xml:space="preserve">Reward (Min )
</t>
    </r>
    <r>
      <rPr>
        <sz val="11"/>
        <color theme="1"/>
        <rFont val="Verdana"/>
      </rPr>
      <t xml:space="preserve">for Bulls : Target min - Cost
</t>
    </r>
  </si>
  <si>
    <r>
      <rPr>
        <b/>
        <sz val="11"/>
        <color theme="1"/>
        <rFont val="Verdana"/>
      </rPr>
      <t>Reward (Min )</t>
    </r>
    <r>
      <rPr>
        <sz val="11"/>
        <color theme="1"/>
        <rFont val="Verdana"/>
      </rPr>
      <t xml:space="preserve">
for Bears :Cost - Target min</t>
    </r>
  </si>
  <si>
    <r>
      <rPr>
        <b/>
        <sz val="11"/>
        <color theme="1"/>
        <rFont val="Verdana"/>
      </rPr>
      <t xml:space="preserve">Reward  (Max)
</t>
    </r>
    <r>
      <rPr>
        <sz val="11"/>
        <color theme="1"/>
        <rFont val="Verdana"/>
      </rPr>
      <t xml:space="preserve">for Bulls :Target - Cost
</t>
    </r>
  </si>
  <si>
    <r>
      <rPr>
        <b/>
        <sz val="11"/>
        <color theme="1"/>
        <rFont val="Verdana"/>
      </rPr>
      <t>Reward  (Max)</t>
    </r>
    <r>
      <rPr>
        <sz val="11"/>
        <color theme="1"/>
        <rFont val="Verdana"/>
      </rPr>
      <t xml:space="preserve">
for Bears :Cost - Target max</t>
    </r>
  </si>
  <si>
    <r>
      <rPr>
        <b/>
        <sz val="11"/>
        <color theme="1"/>
        <rFont val="Verdana"/>
      </rPr>
      <t xml:space="preserve">Reward  (Max)
</t>
    </r>
    <r>
      <rPr>
        <sz val="11"/>
        <color theme="1"/>
        <rFont val="Verdana"/>
      </rPr>
      <t xml:space="preserve">for Bulls :Target - Cost
</t>
    </r>
  </si>
  <si>
    <r>
      <rPr>
        <b/>
        <sz val="11"/>
        <color theme="1"/>
        <rFont val="Verdana"/>
      </rPr>
      <t>Reward  (Max)</t>
    </r>
    <r>
      <rPr>
        <sz val="11"/>
        <color theme="1"/>
        <rFont val="Verdana"/>
      </rPr>
      <t xml:space="preserve">
for Bears :Cost - Target max</t>
    </r>
  </si>
  <si>
    <r>
      <rPr>
        <b/>
        <sz val="11"/>
        <color theme="1"/>
        <rFont val="Verdana"/>
      </rPr>
      <t xml:space="preserve">Reward  (Max)
</t>
    </r>
    <r>
      <rPr>
        <sz val="11"/>
        <color theme="1"/>
        <rFont val="Verdana"/>
      </rPr>
      <t xml:space="preserve">for Bulls :Target - Cost
</t>
    </r>
  </si>
  <si>
    <r>
      <rPr>
        <b/>
        <sz val="11"/>
        <color theme="1"/>
        <rFont val="Verdana"/>
      </rPr>
      <t>Reward  (Max)</t>
    </r>
    <r>
      <rPr>
        <sz val="11"/>
        <color theme="1"/>
        <rFont val="Verdana"/>
      </rPr>
      <t xml:space="preserve">
for Bears :Cost - Target max</t>
    </r>
  </si>
  <si>
    <r>
      <rPr>
        <b/>
        <sz val="11"/>
        <color theme="1"/>
        <rFont val="Verdana"/>
      </rPr>
      <t xml:space="preserve">Reward  (Max)
</t>
    </r>
    <r>
      <rPr>
        <sz val="11"/>
        <color theme="1"/>
        <rFont val="Verdana"/>
      </rPr>
      <t xml:space="preserve">for Bulls :Target - Cost
</t>
    </r>
  </si>
  <si>
    <r>
      <rPr>
        <b/>
        <sz val="11"/>
        <color theme="1"/>
        <rFont val="Verdana"/>
      </rPr>
      <t>Reward  (Max)</t>
    </r>
    <r>
      <rPr>
        <sz val="11"/>
        <color theme="1"/>
        <rFont val="Verdana"/>
      </rPr>
      <t xml:space="preserve">
for Bears :Cost - Target max</t>
    </r>
  </si>
  <si>
    <r>
      <rPr>
        <b/>
        <sz val="11"/>
        <color theme="1"/>
        <rFont val="Verdana"/>
      </rPr>
      <t xml:space="preserve">Reward  (Max)
</t>
    </r>
    <r>
      <rPr>
        <sz val="11"/>
        <color theme="1"/>
        <rFont val="Verdana"/>
      </rPr>
      <t xml:space="preserve">for Bulls :Target - Cost
</t>
    </r>
  </si>
  <si>
    <r>
      <rPr>
        <b/>
        <sz val="11"/>
        <color theme="1"/>
        <rFont val="Verdana"/>
      </rPr>
      <t>Reward  (Max)</t>
    </r>
    <r>
      <rPr>
        <sz val="11"/>
        <color theme="1"/>
        <rFont val="Verdana"/>
      </rPr>
      <t xml:space="preserve">
for Bears :Cost - Target max</t>
    </r>
  </si>
  <si>
    <r>
      <rPr>
        <b/>
        <sz val="11"/>
        <color theme="1"/>
        <rFont val="Verdana"/>
      </rPr>
      <t xml:space="preserve">Risk 
</t>
    </r>
    <r>
      <rPr>
        <sz val="11"/>
        <color theme="1"/>
        <rFont val="Verdana"/>
      </rPr>
      <t>for Bulls : (Cost - SL)</t>
    </r>
  </si>
  <si>
    <r>
      <rPr>
        <b/>
        <sz val="11"/>
        <color theme="1"/>
        <rFont val="Verdana"/>
      </rPr>
      <t xml:space="preserve">Risk </t>
    </r>
    <r>
      <rPr>
        <sz val="11"/>
        <color theme="1"/>
        <rFont val="Verdana"/>
      </rPr>
      <t xml:space="preserve">
for Bears : (SL - Cost)</t>
    </r>
  </si>
  <si>
    <r>
      <rPr>
        <b/>
        <sz val="11"/>
        <color theme="1"/>
        <rFont val="Verdana"/>
      </rPr>
      <t xml:space="preserve">Risk 
</t>
    </r>
    <r>
      <rPr>
        <sz val="11"/>
        <color theme="1"/>
        <rFont val="Verdana"/>
      </rPr>
      <t>for Bulls : (Cost - SL)</t>
    </r>
  </si>
  <si>
    <r>
      <rPr>
        <b/>
        <sz val="11"/>
        <color theme="1"/>
        <rFont val="Verdana"/>
      </rPr>
      <t xml:space="preserve">Risk </t>
    </r>
    <r>
      <rPr>
        <sz val="11"/>
        <color theme="1"/>
        <rFont val="Verdana"/>
      </rPr>
      <t xml:space="preserve">
for Bears : (SL - Cost)</t>
    </r>
  </si>
  <si>
    <r>
      <rPr>
        <b/>
        <sz val="11"/>
        <color theme="1"/>
        <rFont val="Verdana"/>
      </rPr>
      <t xml:space="preserve">Risk 
</t>
    </r>
    <r>
      <rPr>
        <sz val="11"/>
        <color theme="1"/>
        <rFont val="Verdana"/>
      </rPr>
      <t>for Bulls : (Cost - SL)</t>
    </r>
  </si>
  <si>
    <r>
      <rPr>
        <b/>
        <sz val="11"/>
        <color theme="1"/>
        <rFont val="Verdana"/>
      </rPr>
      <t xml:space="preserve">Risk </t>
    </r>
    <r>
      <rPr>
        <sz val="11"/>
        <color theme="1"/>
        <rFont val="Verdana"/>
      </rPr>
      <t xml:space="preserve">
for Bears : (SL - Cost)</t>
    </r>
  </si>
  <si>
    <r>
      <rPr>
        <b/>
        <sz val="11"/>
        <color theme="1"/>
        <rFont val="Verdana"/>
      </rPr>
      <t xml:space="preserve">Risk 
</t>
    </r>
    <r>
      <rPr>
        <sz val="11"/>
        <color theme="1"/>
        <rFont val="Verdana"/>
      </rPr>
      <t>for Bulls : (Cost - SL)</t>
    </r>
  </si>
  <si>
    <r>
      <rPr>
        <b/>
        <sz val="11"/>
        <color theme="1"/>
        <rFont val="Verdana"/>
      </rPr>
      <t xml:space="preserve">Risk </t>
    </r>
    <r>
      <rPr>
        <sz val="11"/>
        <color theme="1"/>
        <rFont val="Verdana"/>
      </rPr>
      <t xml:space="preserve">
for Bears : (SL - Cost)</t>
    </r>
  </si>
  <si>
    <r>
      <rPr>
        <b/>
        <sz val="11"/>
        <color theme="1"/>
        <rFont val="Verdana"/>
      </rPr>
      <t xml:space="preserve">Risk 
</t>
    </r>
    <r>
      <rPr>
        <sz val="11"/>
        <color theme="1"/>
        <rFont val="Verdana"/>
      </rPr>
      <t>for Bulls : (Cost - SL)</t>
    </r>
  </si>
  <si>
    <r>
      <rPr>
        <b/>
        <sz val="11"/>
        <color theme="1"/>
        <rFont val="Verdana"/>
      </rPr>
      <t xml:space="preserve">Risk </t>
    </r>
    <r>
      <rPr>
        <sz val="11"/>
        <color theme="1"/>
        <rFont val="Verdana"/>
      </rPr>
      <t xml:space="preserve">
for Bears : (SL - Cost)</t>
    </r>
  </si>
  <si>
    <t>Risk/ Reward ratio</t>
  </si>
  <si>
    <t>Reward / Risk ratio</t>
  </si>
  <si>
    <t>Total Capital</t>
  </si>
  <si>
    <t>Max. Allowed Risk / Trade of Total Capital</t>
  </si>
  <si>
    <t>Max No. of Shares allowed 
to Buy / Sell</t>
  </si>
  <si>
    <t>Required Investement</t>
  </si>
  <si>
    <t xml:space="preserve">Our  Investement </t>
  </si>
  <si>
    <t>Usable Margin</t>
  </si>
  <si>
    <t>Margin Using</t>
  </si>
  <si>
    <t>Total Trade Value</t>
  </si>
  <si>
    <t>No.of Stocks We are Getting</t>
  </si>
  <si>
    <t>Risk involved</t>
  </si>
  <si>
    <t>Min Profit potential</t>
  </si>
  <si>
    <t>Max Profit Potential</t>
  </si>
  <si>
    <t>Min ROI%</t>
  </si>
  <si>
    <t>Max ROI</t>
  </si>
  <si>
    <t>Trade 6</t>
  </si>
  <si>
    <t>Trade 7</t>
  </si>
  <si>
    <t>Trade 8</t>
  </si>
  <si>
    <t>Trade 9</t>
  </si>
  <si>
    <t>Trade 10</t>
  </si>
  <si>
    <r>
      <rPr>
        <b/>
        <sz val="11"/>
        <color theme="1"/>
        <rFont val="Verdana"/>
      </rPr>
      <t xml:space="preserve">Reward (Min )
</t>
    </r>
    <r>
      <rPr>
        <sz val="11"/>
        <color theme="1"/>
        <rFont val="Verdana"/>
      </rPr>
      <t xml:space="preserve">for Bulls : Target min - Cost
</t>
    </r>
  </si>
  <si>
    <r>
      <rPr>
        <b/>
        <sz val="11"/>
        <color theme="1"/>
        <rFont val="Verdana"/>
      </rPr>
      <t>Reward (Min )</t>
    </r>
    <r>
      <rPr>
        <sz val="11"/>
        <color theme="1"/>
        <rFont val="Verdana"/>
      </rPr>
      <t xml:space="preserve">
for Bears :Cost - Target min</t>
    </r>
  </si>
  <si>
    <r>
      <rPr>
        <b/>
        <sz val="11"/>
        <color theme="1"/>
        <rFont val="Verdana"/>
      </rPr>
      <t xml:space="preserve">Reward (Min )
</t>
    </r>
    <r>
      <rPr>
        <sz val="11"/>
        <color theme="1"/>
        <rFont val="Verdana"/>
      </rPr>
      <t xml:space="preserve">for Bulls : Target min - Cost
</t>
    </r>
  </si>
  <si>
    <r>
      <rPr>
        <b/>
        <sz val="11"/>
        <color theme="1"/>
        <rFont val="Verdana"/>
      </rPr>
      <t>Reward (Min )</t>
    </r>
    <r>
      <rPr>
        <sz val="11"/>
        <color theme="1"/>
        <rFont val="Verdana"/>
      </rPr>
      <t xml:space="preserve">
for Bears :Cost - Target min</t>
    </r>
  </si>
  <si>
    <r>
      <rPr>
        <b/>
        <sz val="11"/>
        <color theme="1"/>
        <rFont val="Verdana"/>
      </rPr>
      <t xml:space="preserve">Reward (Min )
</t>
    </r>
    <r>
      <rPr>
        <sz val="11"/>
        <color theme="1"/>
        <rFont val="Verdana"/>
      </rPr>
      <t xml:space="preserve">for Bulls : Target min - Cost
</t>
    </r>
  </si>
  <si>
    <r>
      <rPr>
        <b/>
        <sz val="11"/>
        <color theme="1"/>
        <rFont val="Verdana"/>
      </rPr>
      <t>Reward (Min )</t>
    </r>
    <r>
      <rPr>
        <sz val="11"/>
        <color theme="1"/>
        <rFont val="Verdana"/>
      </rPr>
      <t xml:space="preserve">
for Bears :Cost - Target min</t>
    </r>
  </si>
  <si>
    <r>
      <rPr>
        <b/>
        <sz val="11"/>
        <color theme="1"/>
        <rFont val="Verdana"/>
      </rPr>
      <t xml:space="preserve">Reward (Min )
</t>
    </r>
    <r>
      <rPr>
        <sz val="11"/>
        <color theme="1"/>
        <rFont val="Verdana"/>
      </rPr>
      <t xml:space="preserve">for Bulls : Target min - Cost
</t>
    </r>
  </si>
  <si>
    <r>
      <rPr>
        <b/>
        <sz val="11"/>
        <color theme="1"/>
        <rFont val="Verdana"/>
      </rPr>
      <t>Reward (Min )</t>
    </r>
    <r>
      <rPr>
        <sz val="11"/>
        <color theme="1"/>
        <rFont val="Verdana"/>
      </rPr>
      <t xml:space="preserve">
for Bears :Cost - Target min</t>
    </r>
  </si>
  <si>
    <r>
      <rPr>
        <b/>
        <sz val="11"/>
        <color theme="1"/>
        <rFont val="Verdana"/>
      </rPr>
      <t xml:space="preserve">Reward (Min )
</t>
    </r>
    <r>
      <rPr>
        <sz val="11"/>
        <color theme="1"/>
        <rFont val="Verdana"/>
      </rPr>
      <t xml:space="preserve">for Bulls : Target min - Cost
</t>
    </r>
  </si>
  <si>
    <r>
      <rPr>
        <b/>
        <sz val="11"/>
        <color theme="1"/>
        <rFont val="Verdana"/>
      </rPr>
      <t>Reward (Min )</t>
    </r>
    <r>
      <rPr>
        <sz val="11"/>
        <color theme="1"/>
        <rFont val="Verdana"/>
      </rPr>
      <t xml:space="preserve">
for Bears :Cost - Target min</t>
    </r>
  </si>
  <si>
    <r>
      <rPr>
        <b/>
        <sz val="11"/>
        <color theme="1"/>
        <rFont val="Verdana"/>
      </rPr>
      <t xml:space="preserve">Reward  (Max)
</t>
    </r>
    <r>
      <rPr>
        <sz val="11"/>
        <color theme="1"/>
        <rFont val="Verdana"/>
      </rPr>
      <t xml:space="preserve">for Bulls :Target - Cost
</t>
    </r>
  </si>
  <si>
    <r>
      <rPr>
        <b/>
        <sz val="11"/>
        <color theme="1"/>
        <rFont val="Verdana"/>
      </rPr>
      <t>Reward  (Max)</t>
    </r>
    <r>
      <rPr>
        <sz val="11"/>
        <color theme="1"/>
        <rFont val="Verdana"/>
      </rPr>
      <t xml:space="preserve">
for Bears :Cost - Target max</t>
    </r>
  </si>
  <si>
    <r>
      <rPr>
        <b/>
        <sz val="11"/>
        <color theme="1"/>
        <rFont val="Verdana"/>
      </rPr>
      <t xml:space="preserve">Reward  (Max)
</t>
    </r>
    <r>
      <rPr>
        <sz val="11"/>
        <color theme="1"/>
        <rFont val="Verdana"/>
      </rPr>
      <t xml:space="preserve">for Bulls :Target - Cost
</t>
    </r>
  </si>
  <si>
    <r>
      <rPr>
        <b/>
        <sz val="11"/>
        <color theme="1"/>
        <rFont val="Verdana"/>
      </rPr>
      <t>Reward  (Max)</t>
    </r>
    <r>
      <rPr>
        <sz val="11"/>
        <color theme="1"/>
        <rFont val="Verdana"/>
      </rPr>
      <t xml:space="preserve">
for Bears :Cost - Target max</t>
    </r>
  </si>
  <si>
    <r>
      <rPr>
        <b/>
        <sz val="11"/>
        <color theme="1"/>
        <rFont val="Verdana"/>
      </rPr>
      <t xml:space="preserve">Reward  (Max)
</t>
    </r>
    <r>
      <rPr>
        <sz val="11"/>
        <color theme="1"/>
        <rFont val="Verdana"/>
      </rPr>
      <t xml:space="preserve">for Bulls :Target - Cost
</t>
    </r>
  </si>
  <si>
    <r>
      <rPr>
        <b/>
        <sz val="11"/>
        <color theme="1"/>
        <rFont val="Verdana"/>
      </rPr>
      <t>Reward  (Max)</t>
    </r>
    <r>
      <rPr>
        <sz val="11"/>
        <color theme="1"/>
        <rFont val="Verdana"/>
      </rPr>
      <t xml:space="preserve">
for Bears :Cost - Target max</t>
    </r>
  </si>
  <si>
    <r>
      <rPr>
        <b/>
        <sz val="11"/>
        <color theme="1"/>
        <rFont val="Verdana"/>
      </rPr>
      <t xml:space="preserve">Reward  (Max)
</t>
    </r>
    <r>
      <rPr>
        <sz val="11"/>
        <color theme="1"/>
        <rFont val="Verdana"/>
      </rPr>
      <t xml:space="preserve">for Bulls :Target - Cost
</t>
    </r>
  </si>
  <si>
    <r>
      <rPr>
        <b/>
        <sz val="11"/>
        <color theme="1"/>
        <rFont val="Verdana"/>
      </rPr>
      <t>Reward  (Max)</t>
    </r>
    <r>
      <rPr>
        <sz val="11"/>
        <color theme="1"/>
        <rFont val="Verdana"/>
      </rPr>
      <t xml:space="preserve">
for Bears :Cost - Target max</t>
    </r>
  </si>
  <si>
    <r>
      <rPr>
        <b/>
        <sz val="11"/>
        <color theme="1"/>
        <rFont val="Verdana"/>
      </rPr>
      <t xml:space="preserve">Reward  (Max)
</t>
    </r>
    <r>
      <rPr>
        <sz val="11"/>
        <color theme="1"/>
        <rFont val="Verdana"/>
      </rPr>
      <t xml:space="preserve">for Bulls :Target - Cost
</t>
    </r>
  </si>
  <si>
    <r>
      <rPr>
        <b/>
        <sz val="11"/>
        <color theme="1"/>
        <rFont val="Verdana"/>
      </rPr>
      <t>Reward  (Max)</t>
    </r>
    <r>
      <rPr>
        <sz val="11"/>
        <color theme="1"/>
        <rFont val="Verdana"/>
      </rPr>
      <t xml:space="preserve">
for Bears :Cost - Target max</t>
    </r>
  </si>
  <si>
    <r>
      <rPr>
        <b/>
        <sz val="11"/>
        <color theme="1"/>
        <rFont val="Verdana"/>
      </rPr>
      <t xml:space="preserve">Risk 
</t>
    </r>
    <r>
      <rPr>
        <sz val="11"/>
        <color theme="1"/>
        <rFont val="Verdana"/>
      </rPr>
      <t>for Bulls : (Cost - SL)</t>
    </r>
  </si>
  <si>
    <r>
      <rPr>
        <b/>
        <sz val="11"/>
        <color theme="1"/>
        <rFont val="Verdana"/>
      </rPr>
      <t xml:space="preserve">Risk </t>
    </r>
    <r>
      <rPr>
        <sz val="11"/>
        <color theme="1"/>
        <rFont val="Verdana"/>
      </rPr>
      <t xml:space="preserve">
for Bears : (SL - Cost)</t>
    </r>
  </si>
  <si>
    <r>
      <rPr>
        <b/>
        <sz val="11"/>
        <color theme="1"/>
        <rFont val="Verdana"/>
      </rPr>
      <t xml:space="preserve">Risk 
</t>
    </r>
    <r>
      <rPr>
        <sz val="11"/>
        <color theme="1"/>
        <rFont val="Verdana"/>
      </rPr>
      <t>for Bulls : (Cost - SL)</t>
    </r>
  </si>
  <si>
    <r>
      <rPr>
        <b/>
        <sz val="11"/>
        <color theme="1"/>
        <rFont val="Verdana"/>
      </rPr>
      <t xml:space="preserve">Risk </t>
    </r>
    <r>
      <rPr>
        <sz val="11"/>
        <color theme="1"/>
        <rFont val="Verdana"/>
      </rPr>
      <t xml:space="preserve">
for Bears : (SL - Cost)</t>
    </r>
  </si>
  <si>
    <r>
      <rPr>
        <b/>
        <sz val="11"/>
        <color theme="1"/>
        <rFont val="Verdana"/>
      </rPr>
      <t xml:space="preserve">Risk 
</t>
    </r>
    <r>
      <rPr>
        <sz val="11"/>
        <color theme="1"/>
        <rFont val="Verdana"/>
      </rPr>
      <t>for Bulls : (Cost - SL)</t>
    </r>
  </si>
  <si>
    <r>
      <rPr>
        <b/>
        <sz val="11"/>
        <color theme="1"/>
        <rFont val="Verdana"/>
      </rPr>
      <t xml:space="preserve">Risk </t>
    </r>
    <r>
      <rPr>
        <sz val="11"/>
        <color theme="1"/>
        <rFont val="Verdana"/>
      </rPr>
      <t xml:space="preserve">
for Bears : (SL - Cost)</t>
    </r>
  </si>
  <si>
    <r>
      <rPr>
        <b/>
        <sz val="11"/>
        <color theme="1"/>
        <rFont val="Verdana"/>
      </rPr>
      <t xml:space="preserve">Risk 
</t>
    </r>
    <r>
      <rPr>
        <sz val="11"/>
        <color theme="1"/>
        <rFont val="Verdana"/>
      </rPr>
      <t>for Bulls : (Cost - SL)</t>
    </r>
  </si>
  <si>
    <r>
      <rPr>
        <b/>
        <sz val="11"/>
        <color theme="1"/>
        <rFont val="Verdana"/>
      </rPr>
      <t xml:space="preserve">Risk </t>
    </r>
    <r>
      <rPr>
        <sz val="11"/>
        <color theme="1"/>
        <rFont val="Verdana"/>
      </rPr>
      <t xml:space="preserve">
for Bears : (SL - Cost)</t>
    </r>
  </si>
  <si>
    <r>
      <rPr>
        <b/>
        <sz val="11"/>
        <color theme="1"/>
        <rFont val="Verdana"/>
      </rPr>
      <t xml:space="preserve">Risk 
</t>
    </r>
    <r>
      <rPr>
        <sz val="11"/>
        <color theme="1"/>
        <rFont val="Verdana"/>
      </rPr>
      <t>for Bulls : (Cost - SL)</t>
    </r>
  </si>
  <si>
    <r>
      <rPr>
        <b/>
        <sz val="11"/>
        <color theme="1"/>
        <rFont val="Verdana"/>
      </rPr>
      <t xml:space="preserve">Risk </t>
    </r>
    <r>
      <rPr>
        <sz val="11"/>
        <color theme="1"/>
        <rFont val="Verdana"/>
      </rPr>
      <t xml:space="preserve">
for Bears : (SL - Cost)</t>
    </r>
  </si>
  <si>
    <t>S.No</t>
  </si>
  <si>
    <t xml:space="preserve">Trade Using </t>
  </si>
  <si>
    <t>Observation</t>
  </si>
  <si>
    <t xml:space="preserve">Trigger Point </t>
  </si>
  <si>
    <t>Supportive Indicators</t>
  </si>
  <si>
    <t>Stop Loss</t>
  </si>
  <si>
    <t xml:space="preserve">Target </t>
  </si>
  <si>
    <t xml:space="preserve">Inverted Head And Shoulders </t>
  </si>
  <si>
    <t>Inverted H &amp; S found in a Down Trend</t>
  </si>
  <si>
    <t>When the Neck line is Broken</t>
  </si>
  <si>
    <t xml:space="preserve"> EMA  ,For Bottom Fishing Osc Divergence </t>
  </si>
  <si>
    <t xml:space="preserve">Below Osc PCO Candle or Median of the weapon candle if weapon is  huge and Heavy Volume </t>
  </si>
  <si>
    <t xml:space="preserve">Lowest Point To Neck line = Range(R)                                      Place the R From Break Point </t>
  </si>
  <si>
    <t xml:space="preserve">Double Bottom </t>
  </si>
  <si>
    <t>2 Lows on the same level or 1 Low and fake Break out</t>
  </si>
  <si>
    <t xml:space="preserve">One can enter after follow up </t>
  </si>
  <si>
    <t>EMA ,For Bottom Fishing Osc Divergence</t>
  </si>
  <si>
    <t>Range From Low to high of double bottom = R                                                                                1st Target = R/2 from 2nd Low ,                     2nd target = R from 2nd Low ,                         3rd Target =2 R  from 2nd Low</t>
  </si>
  <si>
    <t xml:space="preserve">Cup And Handle </t>
  </si>
  <si>
    <t xml:space="preserve">Shape of Cup and handle found in Monthly or weekly chart  with Low Volumes </t>
  </si>
  <si>
    <t xml:space="preserve">Breakout of Neck Line , with High Volume </t>
  </si>
  <si>
    <t xml:space="preserve">EMA  </t>
  </si>
  <si>
    <t>Below Osc PCO Candle or Median of the weapon candle if weapon is huge and Heavy Volume</t>
  </si>
  <si>
    <t xml:space="preserve">Range From Bottom to lid Line = R                               1st Target = R break out ,and if T1 is achieved then increas the Target to 2xR and can be done upto 5 times </t>
  </si>
  <si>
    <t xml:space="preserve">Bullish Flag and Pole </t>
  </si>
  <si>
    <t xml:space="preserve">Side ways trend after an uptrend look for Flag and pole </t>
  </si>
  <si>
    <t>Break out of Highest Point of Flag</t>
  </si>
  <si>
    <t xml:space="preserve"> Fib Retracement               </t>
  </si>
  <si>
    <t xml:space="preserve">Range of flag = R ,Length of Pole = L              T1 =Place R from Breakout point ,             Concervative T2 = L from last low Before Breakout,                                                 Agresive T2 = L from Breakout Point </t>
  </si>
  <si>
    <t>Three White Soldiers</t>
  </si>
  <si>
    <t>Buying signals / bullish candles</t>
  </si>
  <si>
    <t>Three White Soldiers and then price dips in the range of 2nd soldier's High and Low levels</t>
  </si>
  <si>
    <t>Low of the 1st candle</t>
  </si>
  <si>
    <t>As per Major Resistance or chart pattern</t>
  </si>
  <si>
    <t>Bulls Counter Attack</t>
  </si>
  <si>
    <t>Price opens below the major support levels</t>
  </si>
  <si>
    <t>Once price enters again above the breakdown level</t>
  </si>
  <si>
    <t>LBC Failed, High Volume</t>
  </si>
  <si>
    <t>Low of the counterattack candle</t>
  </si>
  <si>
    <t xml:space="preserve">Rounding Bottom </t>
  </si>
  <si>
    <t xml:space="preserve">Multiple big red candles with no strong follow-up, mostly forming neutral candle patterns </t>
  </si>
  <si>
    <t xml:space="preserve">Strong breakout candle closing above the sideways range </t>
  </si>
  <si>
    <t xml:space="preserve">Low of the candles in the range at Bottom </t>
  </si>
  <si>
    <t>As per Major resistance or chart pattern</t>
  </si>
  <si>
    <t xml:space="preserve">Genuine BO </t>
  </si>
  <si>
    <t xml:space="preserve">Shakeout at Major resistance level before actual breakout candle </t>
  </si>
  <si>
    <t xml:space="preserve">Once follow up candle closes above the breakout level </t>
  </si>
  <si>
    <t xml:space="preserve">Saving Hand Setup </t>
  </si>
  <si>
    <t xml:space="preserve">Low of the breakout candle </t>
  </si>
  <si>
    <t xml:space="preserve">Fake BD </t>
  </si>
  <si>
    <t xml:space="preserve">Generally there is no shakeout before breakdown, price again enters above the breakdown level with Bullish candles </t>
  </si>
  <si>
    <t xml:space="preserve">Once the follow.up candle closes above the breakdown candle </t>
  </si>
  <si>
    <t xml:space="preserve">Divergences with LBC Fail, High Volume </t>
  </si>
  <si>
    <t xml:space="preserve">Low of the breakdown candle </t>
  </si>
  <si>
    <t xml:space="preserve">Gap Up </t>
  </si>
  <si>
    <t xml:space="preserve">Price opens directly above the major resistance levels and sustains the gap </t>
  </si>
  <si>
    <t xml:space="preserve">One can enter after follow-up </t>
  </si>
  <si>
    <t xml:space="preserve">Low of the breakout candle or below Gap up level </t>
  </si>
  <si>
    <t xml:space="preserve">Mother Candle (Bullish Reversal) </t>
  </si>
  <si>
    <t xml:space="preserve">Mother Candle found at major support </t>
  </si>
  <si>
    <t>Candle that breaks out the Mother Candle</t>
  </si>
  <si>
    <t xml:space="preserve">LBC Fail at Major Support </t>
  </si>
  <si>
    <t xml:space="preserve">Low of Mother Candle </t>
  </si>
  <si>
    <t>As per Major Resistance or Chart Pattern</t>
  </si>
  <si>
    <t xml:space="preserve">Sandwich Pattern </t>
  </si>
  <si>
    <t xml:space="preserve">Multiple alternate Green and Red candles within ranging price levels </t>
  </si>
  <si>
    <t xml:space="preserve">Once sandwich pattern breakout candle closes above the previous candle or breakdown candle closes below the previous candle  </t>
  </si>
  <si>
    <t xml:space="preserve">Low of the sandwich breakout candle orHigh of the sandwich breakdown candle </t>
  </si>
  <si>
    <t>Major resistance for breakout candle or major support for breakdown candle or as per chart pattern</t>
  </si>
  <si>
    <t xml:space="preserve">Mother Candle (Continuation) </t>
  </si>
  <si>
    <t xml:space="preserve">Mother Candle found in between the trend </t>
  </si>
  <si>
    <t xml:space="preserve">1. Bullish continuation - Candle that breaks out the Mother Candle                            2.Bearish continuation - Candle that breaks down the Mother Candle </t>
  </si>
  <si>
    <t xml:space="preserve">1. Bullish Trade - Low of Mother Candle 2. Bearish Trade - High of Mother Candle </t>
  </si>
  <si>
    <t>As per Major Support /Resistance or Chart Pattern</t>
  </si>
  <si>
    <r>
      <rPr>
        <b/>
        <sz val="14"/>
        <color theme="1"/>
        <rFont val="Arial"/>
      </rPr>
      <t>Supportive Indicators (</t>
    </r>
    <r>
      <rPr>
        <b/>
        <sz val="12"/>
        <color theme="1"/>
        <rFont val="Arial"/>
      </rPr>
      <t>LongFrame -MACD,Frame -Osc</t>
    </r>
    <r>
      <rPr>
        <b/>
        <sz val="14"/>
        <color theme="1"/>
        <rFont val="Arial"/>
      </rPr>
      <t>)</t>
    </r>
  </si>
  <si>
    <t xml:space="preserve">Head And Shoulders </t>
  </si>
  <si>
    <t>H &amp; S found in A Up Trend</t>
  </si>
  <si>
    <t xml:space="preserve"> EMA, For Top Fishing Osc Divergence </t>
  </si>
  <si>
    <t xml:space="preserve">Above Osc NCO Candle or Median of the weapon candle if weapon is  huge and Heavy Volume </t>
  </si>
  <si>
    <t xml:space="preserve">Highest Point To Neck line = Range(R)                                                             Place the R From Break Point </t>
  </si>
  <si>
    <t xml:space="preserve">Double Top </t>
  </si>
  <si>
    <t>2 highs on the same level or 1 high and fake Break out Or Neutral or Bearish candle patterns at previous resistance levels</t>
  </si>
  <si>
    <t>One can enter after follow up or Weapon of the bulls is taken out</t>
  </si>
  <si>
    <t xml:space="preserve">Divergences with UBC Fail, High Volume </t>
  </si>
  <si>
    <t>Above Osc NCO Candle or Median of the weapon candle if weapon is  huge and Heavy Volume Or High of Weapon</t>
  </si>
  <si>
    <t xml:space="preserve">Range From top to low of double top=R                                                       1st Target = R/2 from 2nd top ,                       2nd target = R from 2nd top ,                          3rd Target = R from  Breaking point of Low </t>
  </si>
  <si>
    <t>Bearish Flag and Pole</t>
  </si>
  <si>
    <t>Side ways trend after Downtrend look for Flag and pole</t>
  </si>
  <si>
    <t>BreakDown  of Lowest Point of Flag</t>
  </si>
  <si>
    <t xml:space="preserve">  Fib Retracement </t>
  </si>
  <si>
    <t>Below Osc NCO Candle or Median of the weapon candle if weapon is huge and Heavy Volume</t>
  </si>
  <si>
    <t xml:space="preserve">Range of flag = R ,Length of Pole = L             T1 =Place R from BreakDown point ,             Concervative T2 = L from last High Before BreakDown ,                                        Agresive T2 = L from BreakDown Point </t>
  </si>
  <si>
    <t>Three Black Crows</t>
  </si>
  <si>
    <t>Selling signals / bearish candles</t>
  </si>
  <si>
    <t>Three Black crows and then price rallies in the range of 2nd crow's High and Low levels</t>
  </si>
  <si>
    <t>High of the 1st candle</t>
  </si>
  <si>
    <t>As per Major Support or chart pattern</t>
  </si>
  <si>
    <t>Bears Counterattack</t>
  </si>
  <si>
    <t>Price opens above the major resistance levels</t>
  </si>
  <si>
    <t>Once price enters again below the breakout level</t>
  </si>
  <si>
    <t>UBC Failed, High Volume</t>
  </si>
  <si>
    <t xml:space="preserve">High of the counterattack candle </t>
  </si>
  <si>
    <t xml:space="preserve">Rounding Top </t>
  </si>
  <si>
    <t xml:space="preserve">Multiple big green candles with no strong follow-up, mostly forming neutral candle patterns </t>
  </si>
  <si>
    <t xml:space="preserve">Strong breakdown candle closing below the sideways range </t>
  </si>
  <si>
    <t xml:space="preserve">High of the candles in the range at Top </t>
  </si>
  <si>
    <t xml:space="preserve">Genuine BD </t>
  </si>
  <si>
    <t xml:space="preserve">Shakeout at Major support level before actual breakdown candle </t>
  </si>
  <si>
    <t xml:space="preserve">Once follow up candle closes below the breakdown level </t>
  </si>
  <si>
    <t xml:space="preserve">High of the breakdown candle </t>
  </si>
  <si>
    <t xml:space="preserve">Fake BO </t>
  </si>
  <si>
    <t xml:space="preserve">Generally there is no shakeout before breakout, price again enters below the breakout level with Bearish candles </t>
  </si>
  <si>
    <t xml:space="preserve">Once the follow-up candle closes below the breakout candle  </t>
  </si>
  <si>
    <t xml:space="preserve">High of the breakout candle </t>
  </si>
  <si>
    <t xml:space="preserve">Gap Down </t>
  </si>
  <si>
    <t xml:space="preserve">Price opens directly below the major support levels and sustains the gap </t>
  </si>
  <si>
    <t xml:space="preserve">High of the breakdown candle or above Gap down level </t>
  </si>
  <si>
    <t xml:space="preserve">Mother Candle (Bearish Reversal) </t>
  </si>
  <si>
    <t xml:space="preserve">Mother Candle found at major resistance </t>
  </si>
  <si>
    <t xml:space="preserve">Candle that breaks down the Mother Candle </t>
  </si>
  <si>
    <t xml:space="preserve">LBC Fail at Major Resistance </t>
  </si>
  <si>
    <t xml:space="preserve">High of Mother Candle </t>
  </si>
  <si>
    <t>As per Major Support or Chart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</si>
</sst>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Verdana"/>
    </font>
    <font>
      <sz val="10"/>
      <name val="Arial"/>
    </font>
    <font>
      <b/>
      <sz val="13"/>
      <color theme="1"/>
      <name val="Verdana"/>
    </font>
    <font>
      <sz val="13"/>
      <color theme="1"/>
      <name val="Arial"/>
      <scheme val="minor"/>
    </font>
    <font>
      <b/>
      <sz val="13"/>
      <color rgb="FF000000"/>
      <name val="Verdana"/>
    </font>
    <font>
      <b/>
      <sz val="13"/>
      <color theme="1"/>
      <name val="Arial"/>
      <scheme val="minor"/>
    </font>
    <font>
      <sz val="13"/>
      <color theme="1"/>
      <name val="Verdana"/>
    </font>
    <font>
      <sz val="12"/>
      <color theme="1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Verdana"/>
    </font>
    <font>
      <b/>
      <sz val="11"/>
      <color theme="1"/>
      <name val="Verdana"/>
    </font>
    <font>
      <sz val="10"/>
      <color theme="1"/>
      <name val="Verdana"/>
    </font>
    <font>
      <b/>
      <sz val="10"/>
      <color theme="1"/>
      <name val="Verdana"/>
    </font>
    <font>
      <b/>
      <sz val="14"/>
      <color rgb="FF202124"/>
      <name val="Arial"/>
    </font>
    <font>
      <sz val="11"/>
      <color theme="1"/>
      <name val="Arial"/>
      <scheme val="minor"/>
    </font>
    <font>
      <sz val="10"/>
      <color theme="1"/>
      <name val="Arial"/>
    </font>
    <font>
      <b/>
      <sz val="13"/>
      <color theme="1"/>
      <name val="Arial"/>
    </font>
    <font>
      <b/>
      <sz val="11"/>
      <color theme="1"/>
      <name val="Arial"/>
    </font>
    <font>
      <b/>
      <sz val="14"/>
      <color theme="1"/>
      <name val="Arial"/>
      <scheme val="minor"/>
    </font>
    <font>
      <b/>
      <sz val="14"/>
      <color rgb="FF00FF00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4"/>
      <color rgb="FFF1C232"/>
      <name val="Arial"/>
      <scheme val="minor"/>
    </font>
    <font>
      <b/>
      <sz val="12"/>
      <color rgb="FF000000"/>
      <name val="Arial"/>
    </font>
    <font>
      <sz val="11"/>
      <color rgb="FF000000"/>
      <name val="Arial"/>
    </font>
    <font>
      <b/>
      <sz val="14"/>
      <color rgb="FFFF0000"/>
      <name val="Arial"/>
      <scheme val="minor"/>
    </font>
    <font>
      <sz val="11"/>
      <color theme="1"/>
      <name val="Verdana"/>
    </font>
    <font>
      <b/>
      <sz val="14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3FFBF"/>
        <bgColor rgb="FFD3FFBF"/>
      </patternFill>
    </fill>
    <fill>
      <patternFill patternType="solid">
        <fgColor rgb="FFFFB0B0"/>
        <bgColor rgb="FFFFB0B0"/>
      </patternFill>
    </fill>
    <fill>
      <patternFill patternType="solid">
        <fgColor rgb="FFE8FFDE"/>
        <bgColor rgb="FFE8FFDE"/>
      </patternFill>
    </fill>
    <fill>
      <patternFill patternType="solid">
        <fgColor rgb="FFFFDFDF"/>
        <bgColor rgb="FFFFDFDF"/>
      </patternFill>
    </fill>
    <fill>
      <patternFill patternType="solid">
        <fgColor rgb="FFFFF2CD"/>
        <bgColor rgb="FFFFF2CD"/>
      </patternFill>
    </fill>
    <fill>
      <patternFill patternType="solid">
        <fgColor rgb="FFD9E1FC"/>
        <bgColor rgb="FFD9E1FC"/>
      </patternFill>
    </fill>
    <fill>
      <patternFill patternType="solid">
        <fgColor rgb="FFFEF37D"/>
        <bgColor rgb="FFFEF37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3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3" borderId="6" xfId="0" applyFont="1" applyFill="1" applyBorder="1"/>
    <xf numFmtId="0" fontId="9" fillId="0" borderId="5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" fillId="8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164" fontId="13" fillId="10" borderId="11" xfId="0" applyNumberFormat="1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 wrapText="1"/>
    </xf>
    <xf numFmtId="164" fontId="13" fillId="10" borderId="12" xfId="0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9" fontId="12" fillId="5" borderId="5" xfId="0" applyNumberFormat="1" applyFont="1" applyFill="1" applyBorder="1" applyAlignment="1">
      <alignment horizontal="center" vertical="center"/>
    </xf>
    <xf numFmtId="3" fontId="13" fillId="10" borderId="8" xfId="0" applyNumberFormat="1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9" fontId="12" fillId="5" borderId="9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3" fillId="10" borderId="13" xfId="0" applyNumberFormat="1" applyFont="1" applyFill="1" applyBorder="1" applyAlignment="1">
      <alignment horizontal="center" vertical="center"/>
    </xf>
    <xf numFmtId="1" fontId="14" fillId="9" borderId="13" xfId="0" applyNumberFormat="1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" fontId="14" fillId="5" borderId="13" xfId="0" applyNumberFormat="1" applyFont="1" applyFill="1" applyBorder="1" applyAlignment="1">
      <alignment horizontal="center" vertical="center"/>
    </xf>
    <xf numFmtId="3" fontId="14" fillId="11" borderId="13" xfId="0" applyNumberFormat="1" applyFont="1" applyFill="1" applyBorder="1" applyAlignment="1">
      <alignment horizontal="center" vertical="center"/>
    </xf>
    <xf numFmtId="3" fontId="14" fillId="5" borderId="1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1" fontId="12" fillId="12" borderId="13" xfId="0" applyNumberFormat="1" applyFont="1" applyFill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0" fontId="16" fillId="0" borderId="13" xfId="0" applyFont="1" applyBorder="1" applyAlignment="1">
      <alignment horizontal="center" vertical="center"/>
    </xf>
    <xf numFmtId="1" fontId="12" fillId="11" borderId="13" xfId="0" applyNumberFormat="1" applyFont="1" applyFill="1" applyBorder="1" applyAlignment="1">
      <alignment horizontal="center" vertical="center"/>
    </xf>
    <xf numFmtId="3" fontId="12" fillId="9" borderId="1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8" borderId="13" xfId="0" applyNumberFormat="1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9" fontId="12" fillId="13" borderId="1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7" fillId="2" borderId="1" xfId="0" applyFont="1" applyFill="1" applyBorder="1" applyAlignment="1"/>
    <xf numFmtId="0" fontId="17" fillId="2" borderId="16" xfId="0" applyFont="1" applyFill="1" applyBorder="1" applyAlignment="1"/>
    <xf numFmtId="0" fontId="17" fillId="2" borderId="16" xfId="0" applyFont="1" applyFill="1" applyBorder="1"/>
    <xf numFmtId="0" fontId="17" fillId="3" borderId="16" xfId="0" applyFont="1" applyFill="1" applyBorder="1" applyAlignment="1"/>
    <xf numFmtId="0" fontId="17" fillId="0" borderId="0" xfId="0" applyFont="1" applyAlignment="1"/>
    <xf numFmtId="0" fontId="17" fillId="0" borderId="17" xfId="0" applyFont="1" applyBorder="1"/>
    <xf numFmtId="0" fontId="17" fillId="0" borderId="17" xfId="0" applyFont="1" applyBorder="1" applyAlignment="1"/>
    <xf numFmtId="0" fontId="17" fillId="0" borderId="0" xfId="0" applyFont="1"/>
    <xf numFmtId="0" fontId="17" fillId="0" borderId="18" xfId="0" applyFont="1" applyBorder="1"/>
    <xf numFmtId="0" fontId="17" fillId="3" borderId="19" xfId="0" applyFont="1" applyFill="1" applyBorder="1" applyAlignment="1"/>
    <xf numFmtId="0" fontId="17" fillId="0" borderId="20" xfId="0" applyFont="1" applyBorder="1" applyAlignment="1"/>
    <xf numFmtId="0" fontId="17" fillId="0" borderId="21" xfId="0" applyFont="1" applyBorder="1" applyAlignment="1"/>
    <xf numFmtId="0" fontId="17" fillId="0" borderId="21" xfId="0" applyFont="1" applyBorder="1"/>
    <xf numFmtId="0" fontId="17" fillId="0" borderId="20" xfId="0" applyFont="1" applyBorder="1"/>
    <xf numFmtId="0" fontId="17" fillId="3" borderId="23" xfId="0" applyFont="1" applyFill="1" applyBorder="1" applyAlignment="1"/>
    <xf numFmtId="0" fontId="17" fillId="0" borderId="21" xfId="0" applyFont="1" applyBorder="1"/>
    <xf numFmtId="0" fontId="17" fillId="0" borderId="7" xfId="0" applyFont="1" applyBorder="1"/>
    <xf numFmtId="0" fontId="17" fillId="0" borderId="20" xfId="0" applyFont="1" applyBorder="1"/>
    <xf numFmtId="0" fontId="17" fillId="0" borderId="7" xfId="0" applyFont="1" applyBorder="1"/>
    <xf numFmtId="0" fontId="12" fillId="0" borderId="21" xfId="0" applyFont="1" applyBorder="1"/>
    <xf numFmtId="0" fontId="12" fillId="0" borderId="21" xfId="0" applyFont="1" applyBorder="1" applyAlignment="1">
      <alignment wrapText="1"/>
    </xf>
    <xf numFmtId="0" fontId="17" fillId="8" borderId="7" xfId="0" applyFon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17" fillId="9" borderId="7" xfId="0" applyFont="1" applyFill="1" applyBorder="1" applyAlignment="1">
      <alignment horizontal="center"/>
    </xf>
    <xf numFmtId="0" fontId="12" fillId="5" borderId="21" xfId="0" applyFont="1" applyFill="1" applyBorder="1"/>
    <xf numFmtId="164" fontId="13" fillId="10" borderId="7" xfId="0" applyNumberFormat="1" applyFont="1" applyFill="1" applyBorder="1" applyAlignment="1">
      <alignment horizontal="center"/>
    </xf>
    <xf numFmtId="0" fontId="12" fillId="5" borderId="21" xfId="0" applyFont="1" applyFill="1" applyBorder="1" applyAlignment="1">
      <alignment wrapText="1"/>
    </xf>
    <xf numFmtId="164" fontId="13" fillId="10" borderId="7" xfId="0" applyNumberFormat="1" applyFont="1" applyFill="1" applyBorder="1" applyAlignment="1">
      <alignment horizontal="center" wrapText="1"/>
    </xf>
    <xf numFmtId="0" fontId="17" fillId="0" borderId="25" xfId="0" applyFont="1" applyBorder="1"/>
    <xf numFmtId="0" fontId="12" fillId="0" borderId="10" xfId="0" applyFont="1" applyBorder="1" applyAlignment="1">
      <alignment horizontal="center" wrapText="1"/>
    </xf>
    <xf numFmtId="9" fontId="12" fillId="5" borderId="21" xfId="0" applyNumberFormat="1" applyFont="1" applyFill="1" applyBorder="1" applyAlignment="1">
      <alignment horizontal="center"/>
    </xf>
    <xf numFmtId="3" fontId="13" fillId="10" borderId="7" xfId="0" applyNumberFormat="1" applyFont="1" applyFill="1" applyBorder="1" applyAlignment="1">
      <alignment horizontal="center" wrapText="1"/>
    </xf>
    <xf numFmtId="0" fontId="12" fillId="0" borderId="26" xfId="0" applyFont="1" applyBorder="1" applyAlignment="1">
      <alignment horizontal="center" wrapText="1"/>
    </xf>
    <xf numFmtId="9" fontId="12" fillId="5" borderId="26" xfId="0" applyNumberFormat="1" applyFont="1" applyFill="1" applyBorder="1" applyAlignment="1">
      <alignment horizontal="center"/>
    </xf>
    <xf numFmtId="0" fontId="17" fillId="3" borderId="19" xfId="0" applyFont="1" applyFill="1" applyBorder="1"/>
    <xf numFmtId="1" fontId="13" fillId="10" borderId="7" xfId="0" applyNumberFormat="1" applyFont="1" applyFill="1" applyBorder="1" applyAlignment="1">
      <alignment horizontal="center"/>
    </xf>
    <xf numFmtId="0" fontId="17" fillId="0" borderId="27" xfId="0" applyFont="1" applyBorder="1"/>
    <xf numFmtId="1" fontId="14" fillId="9" borderId="7" xfId="0" applyNumberFormat="1" applyFont="1" applyFill="1" applyBorder="1" applyAlignment="1">
      <alignment horizontal="center"/>
    </xf>
    <xf numFmtId="0" fontId="17" fillId="5" borderId="20" xfId="0" applyFont="1" applyFill="1" applyBorder="1"/>
    <xf numFmtId="0" fontId="17" fillId="5" borderId="18" xfId="0" applyFont="1" applyFill="1" applyBorder="1"/>
    <xf numFmtId="1" fontId="17" fillId="5" borderId="7" xfId="0" applyNumberFormat="1" applyFont="1" applyFill="1" applyBorder="1"/>
    <xf numFmtId="3" fontId="14" fillId="11" borderId="7" xfId="0" applyNumberFormat="1" applyFont="1" applyFill="1" applyBorder="1" applyAlignment="1">
      <alignment horizontal="center"/>
    </xf>
    <xf numFmtId="0" fontId="17" fillId="3" borderId="28" xfId="0" applyFont="1" applyFill="1" applyBorder="1" applyAlignment="1"/>
    <xf numFmtId="3" fontId="17" fillId="5" borderId="7" xfId="0" applyNumberFormat="1" applyFont="1" applyFill="1" applyBorder="1"/>
    <xf numFmtId="0" fontId="17" fillId="3" borderId="28" xfId="0" applyFont="1" applyFill="1" applyBorder="1"/>
    <xf numFmtId="0" fontId="17" fillId="0" borderId="29" xfId="0" applyFont="1" applyBorder="1" applyAlignment="1"/>
    <xf numFmtId="1" fontId="12" fillId="12" borderId="7" xfId="0" applyNumberFormat="1" applyFont="1" applyFill="1" applyBorder="1" applyAlignment="1">
      <alignment horizontal="center"/>
    </xf>
    <xf numFmtId="0" fontId="17" fillId="0" borderId="30" xfId="0" applyFont="1" applyBorder="1"/>
    <xf numFmtId="1" fontId="12" fillId="11" borderId="26" xfId="0" applyNumberFormat="1" applyFont="1" applyFill="1" applyBorder="1" applyAlignment="1">
      <alignment horizontal="center"/>
    </xf>
    <xf numFmtId="0" fontId="17" fillId="0" borderId="26" xfId="0" applyFont="1" applyBorder="1"/>
    <xf numFmtId="3" fontId="12" fillId="9" borderId="7" xfId="0" applyNumberFormat="1" applyFont="1" applyFill="1" applyBorder="1" applyAlignment="1">
      <alignment horizontal="center"/>
    </xf>
    <xf numFmtId="0" fontId="17" fillId="0" borderId="18" xfId="0" applyFont="1" applyBorder="1"/>
    <xf numFmtId="1" fontId="12" fillId="8" borderId="7" xfId="0" applyNumberFormat="1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9" fontId="12" fillId="13" borderId="7" xfId="0" applyNumberFormat="1" applyFont="1" applyFill="1" applyBorder="1" applyAlignment="1">
      <alignment horizontal="center"/>
    </xf>
    <xf numFmtId="0" fontId="17" fillId="0" borderId="0" xfId="0" applyFont="1" applyAlignment="1"/>
    <xf numFmtId="0" fontId="17" fillId="0" borderId="0" xfId="0" applyFont="1"/>
    <xf numFmtId="0" fontId="17" fillId="0" borderId="18" xfId="0" applyFont="1" applyBorder="1" applyAlignment="1"/>
    <xf numFmtId="0" fontId="17" fillId="0" borderId="23" xfId="0" applyFont="1" applyBorder="1" applyAlignment="1"/>
    <xf numFmtId="0" fontId="17" fillId="0" borderId="23" xfId="0" applyFont="1" applyBorder="1"/>
    <xf numFmtId="0" fontId="17" fillId="0" borderId="19" xfId="0" applyFont="1" applyBorder="1" applyAlignment="1"/>
    <xf numFmtId="0" fontId="17" fillId="3" borderId="31" xfId="0" applyFont="1" applyFill="1" applyBorder="1" applyAlignment="1"/>
    <xf numFmtId="0" fontId="20" fillId="14" borderId="13" xfId="0" applyFont="1" applyFill="1" applyBorder="1" applyAlignment="1">
      <alignment horizontal="center" vertical="center"/>
    </xf>
    <xf numFmtId="0" fontId="20" fillId="12" borderId="13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2" fillId="5" borderId="32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20" fillId="12" borderId="13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6" fillId="5" borderId="13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15" borderId="13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4" fillId="0" borderId="2" xfId="0" applyFont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3" fillId="0" borderId="10" xfId="0" applyFont="1" applyBorder="1"/>
    <xf numFmtId="0" fontId="11" fillId="0" borderId="2" xfId="0" applyFont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5" borderId="9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left"/>
    </xf>
    <xf numFmtId="0" fontId="12" fillId="0" borderId="15" xfId="0" applyFont="1" applyBorder="1" applyAlignment="1">
      <alignment horizontal="left" wrapText="1"/>
    </xf>
    <xf numFmtId="0" fontId="3" fillId="0" borderId="8" xfId="0" applyFont="1" applyBorder="1"/>
    <xf numFmtId="0" fontId="12" fillId="5" borderId="22" xfId="0" applyFont="1" applyFill="1" applyBorder="1" applyAlignment="1">
      <alignment wrapText="1"/>
    </xf>
    <xf numFmtId="0" fontId="3" fillId="0" borderId="21" xfId="0" applyFont="1" applyBorder="1"/>
    <xf numFmtId="0" fontId="12" fillId="5" borderId="24" xfId="0" applyFont="1" applyFill="1" applyBorder="1" applyAlignment="1">
      <alignment wrapText="1"/>
    </xf>
    <xf numFmtId="0" fontId="12" fillId="5" borderId="20" xfId="0" applyFont="1" applyFill="1" applyBorder="1" applyAlignment="1">
      <alignment wrapText="1"/>
    </xf>
    <xf numFmtId="0" fontId="12" fillId="0" borderId="24" xfId="0" applyFont="1" applyBorder="1" applyAlignment="1">
      <alignment wrapText="1"/>
    </xf>
    <xf numFmtId="0" fontId="14" fillId="0" borderId="22" xfId="0" applyFont="1" applyBorder="1" applyAlignment="1">
      <alignment wrapText="1"/>
    </xf>
    <xf numFmtId="0" fontId="12" fillId="5" borderId="17" xfId="0" applyFont="1" applyFill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8" fillId="0" borderId="22" xfId="0" applyFont="1" applyBorder="1" applyAlignment="1">
      <alignment wrapText="1"/>
    </xf>
    <xf numFmtId="0" fontId="19" fillId="0" borderId="17" xfId="0" applyFont="1" applyBorder="1" applyAlignment="1">
      <alignment wrapText="1"/>
    </xf>
    <xf numFmtId="0" fontId="14" fillId="0" borderId="17" xfId="0" applyFont="1" applyBorder="1" applyAlignment="1">
      <alignment wrapText="1"/>
    </xf>
    <xf numFmtId="0" fontId="12" fillId="0" borderId="22" xfId="0" applyFont="1" applyBorder="1" applyAlignment="1"/>
    <xf numFmtId="0" fontId="12" fillId="5" borderId="22" xfId="0" applyFont="1" applyFill="1" applyBorder="1" applyAlignment="1"/>
    <xf numFmtId="0" fontId="12" fillId="0" borderId="22" xfId="0" applyFont="1" applyBorder="1" applyAlignment="1">
      <alignment horizontal="center" wrapText="1"/>
    </xf>
    <xf numFmtId="0" fontId="12" fillId="0" borderId="17" xfId="0" applyFont="1" applyBorder="1" applyAlignment="1"/>
    <xf numFmtId="0" fontId="12" fillId="5" borderId="17" xfId="0" applyFont="1" applyFill="1" applyBorder="1" applyAlignment="1"/>
    <xf numFmtId="0" fontId="12" fillId="0" borderId="17" xfId="0" applyFont="1" applyBorder="1" applyAlignment="1">
      <alignment horizontal="center" wrapText="1"/>
    </xf>
    <xf numFmtId="0" fontId="15" fillId="5" borderId="20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center" wrapText="1"/>
    </xf>
    <xf numFmtId="0" fontId="3" fillId="0" borderId="17" xfId="0" applyFont="1" applyBorder="1"/>
    <xf numFmtId="0" fontId="4" fillId="0" borderId="17" xfId="0" applyFont="1" applyBorder="1" applyAlignment="1">
      <alignment wrapText="1"/>
    </xf>
    <xf numFmtId="0" fontId="4" fillId="5" borderId="17" xfId="0" applyFont="1" applyFill="1" applyBorder="1" applyAlignment="1">
      <alignment wrapText="1"/>
    </xf>
    <xf numFmtId="0" fontId="18" fillId="0" borderId="17" xfId="0" applyFont="1" applyBorder="1" applyAlignment="1">
      <alignment wrapText="1"/>
    </xf>
    <xf numFmtId="0" fontId="18" fillId="6" borderId="22" xfId="0" applyFont="1" applyFill="1" applyBorder="1" applyAlignment="1">
      <alignment horizontal="center"/>
    </xf>
    <xf numFmtId="0" fontId="18" fillId="7" borderId="17" xfId="0" applyFont="1" applyFill="1" applyBorder="1" applyAlignment="1">
      <alignment horizontal="center"/>
    </xf>
    <xf numFmtId="0" fontId="12" fillId="0" borderId="25" xfId="0" applyFont="1" applyBorder="1" applyAlignment="1">
      <alignment wrapText="1"/>
    </xf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A1059"/>
  <sheetViews>
    <sheetView tabSelected="1" zoomScale="78" workbookViewId="0"/>
  </sheetViews>
  <sheetFormatPr defaultColWidth="12.6640625" defaultRowHeight="15.75" customHeight="1" x14ac:dyDescent="0.25"/>
  <cols>
    <col min="1" max="1" width="20.33203125" customWidth="1"/>
    <col min="2" max="2" width="10.44140625" customWidth="1"/>
    <col min="3" max="3" width="19.6640625" customWidth="1"/>
    <col min="5" max="5" width="23.109375" customWidth="1"/>
    <col min="6" max="6" width="10.44140625" customWidth="1"/>
    <col min="7" max="7" width="19.21875" customWidth="1"/>
    <col min="9" max="9" width="3" customWidth="1"/>
    <col min="10" max="10" width="20.33203125" customWidth="1"/>
    <col min="11" max="11" width="10.44140625" customWidth="1"/>
    <col min="12" max="12" width="19.6640625" customWidth="1"/>
    <col min="14" max="14" width="23.109375" customWidth="1"/>
    <col min="15" max="15" width="10.44140625" customWidth="1"/>
    <col min="16" max="16" width="19.21875" customWidth="1"/>
    <col min="18" max="18" width="3" customWidth="1"/>
    <col min="19" max="19" width="20.33203125" customWidth="1"/>
    <col min="20" max="20" width="10.44140625" customWidth="1"/>
    <col min="21" max="21" width="19.6640625" customWidth="1"/>
    <col min="23" max="23" width="23.109375" customWidth="1"/>
    <col min="24" max="24" width="10.44140625" customWidth="1"/>
    <col min="25" max="25" width="19.21875" customWidth="1"/>
    <col min="27" max="27" width="3" customWidth="1"/>
    <col min="28" max="28" width="20.33203125" customWidth="1"/>
    <col min="29" max="29" width="10.44140625" customWidth="1"/>
    <col min="30" max="30" width="19.6640625" customWidth="1"/>
    <col min="32" max="32" width="23.109375" customWidth="1"/>
    <col min="33" max="33" width="10.44140625" customWidth="1"/>
    <col min="34" max="34" width="19.21875" customWidth="1"/>
    <col min="36" max="36" width="3" customWidth="1"/>
    <col min="37" max="37" width="20.33203125" customWidth="1"/>
    <col min="38" max="38" width="10.44140625" customWidth="1"/>
    <col min="39" max="39" width="19.6640625" customWidth="1"/>
    <col min="41" max="41" width="23.109375" customWidth="1"/>
    <col min="42" max="42" width="10.44140625" customWidth="1"/>
    <col min="43" max="43" width="19.21875" customWidth="1"/>
    <col min="45" max="45" width="3" customWidth="1"/>
    <col min="46" max="53" width="7.6640625" customWidth="1"/>
  </cols>
  <sheetData>
    <row r="1" spans="1:45" ht="13.5" customHeight="1" x14ac:dyDescent="0.25">
      <c r="A1" s="1"/>
      <c r="B1" s="1"/>
      <c r="C1" s="2"/>
      <c r="D1" s="3"/>
      <c r="E1" s="1"/>
      <c r="F1" s="1"/>
      <c r="G1" s="3"/>
      <c r="H1" s="3"/>
      <c r="I1" s="4"/>
      <c r="J1" s="1"/>
      <c r="K1" s="1"/>
      <c r="L1" s="2"/>
      <c r="M1" s="3"/>
      <c r="N1" s="1"/>
      <c r="O1" s="1"/>
      <c r="P1" s="3"/>
      <c r="Q1" s="3"/>
      <c r="R1" s="4"/>
      <c r="S1" s="1"/>
      <c r="T1" s="1"/>
      <c r="U1" s="2"/>
      <c r="V1" s="3"/>
      <c r="W1" s="1"/>
      <c r="X1" s="1"/>
      <c r="Y1" s="3"/>
      <c r="Z1" s="3"/>
      <c r="AA1" s="4"/>
      <c r="AB1" s="1"/>
      <c r="AC1" s="1"/>
      <c r="AD1" s="2"/>
      <c r="AE1" s="3"/>
      <c r="AF1" s="1"/>
      <c r="AG1" s="1"/>
      <c r="AH1" s="3"/>
      <c r="AI1" s="3"/>
      <c r="AJ1" s="4"/>
      <c r="AK1" s="1"/>
      <c r="AL1" s="1"/>
      <c r="AM1" s="2"/>
      <c r="AN1" s="3"/>
      <c r="AO1" s="1"/>
      <c r="AP1" s="1"/>
      <c r="AQ1" s="3"/>
      <c r="AR1" s="3"/>
      <c r="AS1" s="4"/>
    </row>
    <row r="2" spans="1:45" ht="13.2" x14ac:dyDescent="0.25">
      <c r="C2" s="5"/>
      <c r="D2" s="6"/>
      <c r="G2" s="6"/>
      <c r="H2" s="6"/>
      <c r="I2" s="4"/>
      <c r="L2" s="5"/>
      <c r="M2" s="6"/>
      <c r="P2" s="6"/>
      <c r="Q2" s="6"/>
      <c r="R2" s="4"/>
      <c r="U2" s="5"/>
      <c r="V2" s="6"/>
      <c r="Y2" s="6"/>
      <c r="Z2" s="6"/>
      <c r="AA2" s="4"/>
      <c r="AD2" s="5"/>
      <c r="AE2" s="6"/>
      <c r="AH2" s="6"/>
      <c r="AI2" s="6"/>
      <c r="AJ2" s="4"/>
      <c r="AM2" s="5"/>
      <c r="AN2" s="6"/>
      <c r="AQ2" s="6"/>
      <c r="AR2" s="6"/>
      <c r="AS2" s="4"/>
    </row>
    <row r="3" spans="1:45" ht="13.2" x14ac:dyDescent="0.25">
      <c r="C3" s="147" t="s">
        <v>0</v>
      </c>
      <c r="D3" s="148"/>
      <c r="E3" s="149"/>
      <c r="G3" s="6"/>
      <c r="H3" s="6"/>
      <c r="I3" s="4"/>
      <c r="L3" s="147" t="s">
        <v>1</v>
      </c>
      <c r="M3" s="148"/>
      <c r="N3" s="149"/>
      <c r="P3" s="6"/>
      <c r="Q3" s="6"/>
      <c r="R3" s="4"/>
      <c r="U3" s="147" t="s">
        <v>2</v>
      </c>
      <c r="V3" s="148"/>
      <c r="W3" s="149"/>
      <c r="Y3" s="6"/>
      <c r="Z3" s="6"/>
      <c r="AA3" s="4"/>
      <c r="AD3" s="147" t="s">
        <v>3</v>
      </c>
      <c r="AE3" s="148"/>
      <c r="AF3" s="149"/>
      <c r="AH3" s="6"/>
      <c r="AI3" s="6"/>
      <c r="AJ3" s="4"/>
      <c r="AM3" s="147" t="s">
        <v>4</v>
      </c>
      <c r="AN3" s="148"/>
      <c r="AO3" s="149"/>
      <c r="AQ3" s="6"/>
      <c r="AR3" s="6"/>
      <c r="AS3" s="4"/>
    </row>
    <row r="4" spans="1:45" ht="16.8" x14ac:dyDescent="0.3">
      <c r="C4" s="150" t="s">
        <v>5</v>
      </c>
      <c r="D4" s="149"/>
      <c r="E4" s="7"/>
      <c r="G4" s="6"/>
      <c r="H4" s="6"/>
      <c r="I4" s="4"/>
      <c r="L4" s="150" t="s">
        <v>5</v>
      </c>
      <c r="M4" s="149"/>
      <c r="N4" s="7"/>
      <c r="P4" s="6"/>
      <c r="Q4" s="6"/>
      <c r="R4" s="4"/>
      <c r="U4" s="150" t="s">
        <v>5</v>
      </c>
      <c r="V4" s="149"/>
      <c r="W4" s="7"/>
      <c r="Y4" s="6"/>
      <c r="Z4" s="6"/>
      <c r="AA4" s="4"/>
      <c r="AD4" s="150" t="s">
        <v>5</v>
      </c>
      <c r="AE4" s="149"/>
      <c r="AF4" s="7"/>
      <c r="AH4" s="6"/>
      <c r="AI4" s="6"/>
      <c r="AJ4" s="4"/>
      <c r="AM4" s="150" t="s">
        <v>5</v>
      </c>
      <c r="AN4" s="149"/>
      <c r="AO4" s="7"/>
      <c r="AQ4" s="6"/>
      <c r="AR4" s="6"/>
      <c r="AS4" s="4"/>
    </row>
    <row r="5" spans="1:45" ht="16.8" x14ac:dyDescent="0.3">
      <c r="C5" s="150" t="s">
        <v>6</v>
      </c>
      <c r="D5" s="149"/>
      <c r="E5" s="7"/>
      <c r="G5" s="6"/>
      <c r="H5" s="6"/>
      <c r="I5" s="4"/>
      <c r="L5" s="150" t="s">
        <v>6</v>
      </c>
      <c r="M5" s="149"/>
      <c r="N5" s="7"/>
      <c r="P5" s="6"/>
      <c r="Q5" s="6"/>
      <c r="R5" s="4"/>
      <c r="U5" s="150" t="s">
        <v>6</v>
      </c>
      <c r="V5" s="149"/>
      <c r="W5" s="7"/>
      <c r="Y5" s="6"/>
      <c r="Z5" s="6"/>
      <c r="AA5" s="4"/>
      <c r="AD5" s="150" t="s">
        <v>6</v>
      </c>
      <c r="AE5" s="149"/>
      <c r="AF5" s="7"/>
      <c r="AH5" s="6"/>
      <c r="AI5" s="6"/>
      <c r="AJ5" s="4"/>
      <c r="AM5" s="150" t="s">
        <v>6</v>
      </c>
      <c r="AN5" s="149"/>
      <c r="AO5" s="7"/>
      <c r="AQ5" s="6"/>
      <c r="AR5" s="6"/>
      <c r="AS5" s="4"/>
    </row>
    <row r="6" spans="1:45" ht="16.8" x14ac:dyDescent="0.3">
      <c r="C6" s="150" t="s">
        <v>7</v>
      </c>
      <c r="D6" s="149"/>
      <c r="E6" s="7"/>
      <c r="G6" s="6"/>
      <c r="H6" s="6"/>
      <c r="I6" s="4"/>
      <c r="L6" s="150" t="s">
        <v>7</v>
      </c>
      <c r="M6" s="149"/>
      <c r="N6" s="7"/>
      <c r="P6" s="6"/>
      <c r="Q6" s="6"/>
      <c r="R6" s="4"/>
      <c r="U6" s="150" t="s">
        <v>7</v>
      </c>
      <c r="V6" s="149"/>
      <c r="W6" s="7"/>
      <c r="Y6" s="6"/>
      <c r="Z6" s="6"/>
      <c r="AA6" s="4"/>
      <c r="AD6" s="150" t="s">
        <v>7</v>
      </c>
      <c r="AE6" s="149"/>
      <c r="AF6" s="7"/>
      <c r="AH6" s="6"/>
      <c r="AI6" s="6"/>
      <c r="AJ6" s="4"/>
      <c r="AM6" s="150" t="s">
        <v>7</v>
      </c>
      <c r="AN6" s="149"/>
      <c r="AO6" s="7"/>
      <c r="AQ6" s="6"/>
      <c r="AR6" s="6"/>
      <c r="AS6" s="4"/>
    </row>
    <row r="7" spans="1:45" ht="16.8" x14ac:dyDescent="0.3">
      <c r="C7" s="151" t="s">
        <v>8</v>
      </c>
      <c r="D7" s="149"/>
      <c r="E7" s="7"/>
      <c r="G7" s="6"/>
      <c r="H7" s="6"/>
      <c r="I7" s="4"/>
      <c r="L7" s="151" t="s">
        <v>8</v>
      </c>
      <c r="M7" s="149"/>
      <c r="N7" s="7"/>
      <c r="P7" s="6"/>
      <c r="Q7" s="6"/>
      <c r="R7" s="4"/>
      <c r="U7" s="151" t="s">
        <v>8</v>
      </c>
      <c r="V7" s="149"/>
      <c r="W7" s="7"/>
      <c r="Y7" s="6"/>
      <c r="Z7" s="6"/>
      <c r="AA7" s="4"/>
      <c r="AD7" s="151" t="s">
        <v>8</v>
      </c>
      <c r="AE7" s="149"/>
      <c r="AF7" s="7"/>
      <c r="AH7" s="6"/>
      <c r="AI7" s="6"/>
      <c r="AJ7" s="4"/>
      <c r="AM7" s="151" t="s">
        <v>8</v>
      </c>
      <c r="AN7" s="149"/>
      <c r="AO7" s="7"/>
      <c r="AQ7" s="6"/>
      <c r="AR7" s="6"/>
      <c r="AS7" s="4"/>
    </row>
    <row r="8" spans="1:45" ht="16.2" x14ac:dyDescent="0.25">
      <c r="C8" s="152" t="s">
        <v>9</v>
      </c>
      <c r="D8" s="149"/>
      <c r="E8" s="8"/>
      <c r="G8" s="6"/>
      <c r="H8" s="6"/>
      <c r="I8" s="4"/>
      <c r="L8" s="152" t="s">
        <v>9</v>
      </c>
      <c r="M8" s="149"/>
      <c r="N8" s="8"/>
      <c r="P8" s="6"/>
      <c r="Q8" s="6"/>
      <c r="R8" s="4"/>
      <c r="U8" s="152" t="s">
        <v>9</v>
      </c>
      <c r="V8" s="149"/>
      <c r="W8" s="8"/>
      <c r="Y8" s="6"/>
      <c r="Z8" s="6"/>
      <c r="AA8" s="4"/>
      <c r="AD8" s="152" t="s">
        <v>9</v>
      </c>
      <c r="AE8" s="149"/>
      <c r="AF8" s="8"/>
      <c r="AH8" s="6"/>
      <c r="AI8" s="6"/>
      <c r="AJ8" s="4"/>
      <c r="AM8" s="152" t="s">
        <v>9</v>
      </c>
      <c r="AN8" s="149"/>
      <c r="AO8" s="8"/>
      <c r="AQ8" s="6"/>
      <c r="AR8" s="6"/>
      <c r="AS8" s="4"/>
    </row>
    <row r="9" spans="1:45" ht="13.2" x14ac:dyDescent="0.25">
      <c r="C9" s="5"/>
      <c r="D9" s="6"/>
      <c r="G9" s="6"/>
      <c r="H9" s="6"/>
      <c r="I9" s="4"/>
      <c r="L9" s="5"/>
      <c r="M9" s="6"/>
      <c r="P9" s="6"/>
      <c r="Q9" s="6"/>
      <c r="R9" s="4"/>
      <c r="U9" s="5"/>
      <c r="V9" s="6"/>
      <c r="Y9" s="6"/>
      <c r="Z9" s="6"/>
      <c r="AA9" s="4"/>
      <c r="AD9" s="5"/>
      <c r="AE9" s="6"/>
      <c r="AH9" s="6"/>
      <c r="AI9" s="6"/>
      <c r="AJ9" s="4"/>
      <c r="AM9" s="5"/>
      <c r="AN9" s="6"/>
      <c r="AQ9" s="6"/>
      <c r="AR9" s="6"/>
      <c r="AS9" s="4"/>
    </row>
    <row r="10" spans="1:45" ht="13.2" x14ac:dyDescent="0.25">
      <c r="C10" s="5"/>
      <c r="D10" s="6"/>
      <c r="G10" s="6"/>
      <c r="H10" s="6"/>
      <c r="I10" s="4"/>
      <c r="L10" s="5"/>
      <c r="M10" s="6"/>
      <c r="P10" s="6"/>
      <c r="Q10" s="6"/>
      <c r="R10" s="4"/>
      <c r="U10" s="5"/>
      <c r="V10" s="6"/>
      <c r="Y10" s="6"/>
      <c r="Z10" s="6"/>
      <c r="AA10" s="4"/>
      <c r="AD10" s="5"/>
      <c r="AE10" s="6"/>
      <c r="AH10" s="6"/>
      <c r="AI10" s="6"/>
      <c r="AJ10" s="4"/>
      <c r="AM10" s="5"/>
      <c r="AN10" s="6"/>
      <c r="AQ10" s="6"/>
      <c r="AR10" s="6"/>
      <c r="AS10" s="4"/>
    </row>
    <row r="11" spans="1:45" ht="16.8" x14ac:dyDescent="0.3">
      <c r="A11" s="153" t="s">
        <v>10</v>
      </c>
      <c r="B11" s="148"/>
      <c r="C11" s="149"/>
      <c r="D11" s="9"/>
      <c r="E11" s="154" t="s">
        <v>11</v>
      </c>
      <c r="F11" s="148"/>
      <c r="G11" s="149"/>
      <c r="H11" s="6"/>
      <c r="I11" s="10"/>
      <c r="J11" s="153" t="s">
        <v>10</v>
      </c>
      <c r="K11" s="148"/>
      <c r="L11" s="149"/>
      <c r="M11" s="9"/>
      <c r="N11" s="154" t="s">
        <v>11</v>
      </c>
      <c r="O11" s="148"/>
      <c r="P11" s="149"/>
      <c r="Q11" s="6"/>
      <c r="R11" s="10"/>
      <c r="S11" s="153" t="s">
        <v>10</v>
      </c>
      <c r="T11" s="148"/>
      <c r="U11" s="149"/>
      <c r="V11" s="9"/>
      <c r="W11" s="154" t="s">
        <v>11</v>
      </c>
      <c r="X11" s="148"/>
      <c r="Y11" s="149"/>
      <c r="Z11" s="6"/>
      <c r="AA11" s="10"/>
      <c r="AB11" s="153" t="s">
        <v>10</v>
      </c>
      <c r="AC11" s="148"/>
      <c r="AD11" s="149"/>
      <c r="AE11" s="9"/>
      <c r="AF11" s="154" t="s">
        <v>11</v>
      </c>
      <c r="AG11" s="148"/>
      <c r="AH11" s="149"/>
      <c r="AI11" s="6"/>
      <c r="AJ11" s="10"/>
      <c r="AK11" s="153" t="s">
        <v>10</v>
      </c>
      <c r="AL11" s="148"/>
      <c r="AM11" s="149"/>
      <c r="AN11" s="9"/>
      <c r="AO11" s="154" t="s">
        <v>11</v>
      </c>
      <c r="AP11" s="148"/>
      <c r="AQ11" s="149"/>
      <c r="AR11" s="6"/>
      <c r="AS11" s="10"/>
    </row>
    <row r="12" spans="1:45" ht="13.2" x14ac:dyDescent="0.25">
      <c r="C12" s="5"/>
      <c r="D12" s="6"/>
      <c r="G12" s="6"/>
      <c r="H12" s="6"/>
      <c r="I12" s="4"/>
      <c r="L12" s="5"/>
      <c r="M12" s="6"/>
      <c r="P12" s="6"/>
      <c r="Q12" s="6"/>
      <c r="R12" s="4"/>
      <c r="U12" s="5"/>
      <c r="V12" s="6"/>
      <c r="Y12" s="6"/>
      <c r="Z12" s="6"/>
      <c r="AA12" s="4"/>
      <c r="AD12" s="5"/>
      <c r="AE12" s="6"/>
      <c r="AH12" s="6"/>
      <c r="AI12" s="6"/>
      <c r="AJ12" s="4"/>
      <c r="AM12" s="5"/>
      <c r="AN12" s="6"/>
      <c r="AQ12" s="6"/>
      <c r="AR12" s="6"/>
      <c r="AS12" s="4"/>
    </row>
    <row r="13" spans="1:45" ht="28.5" customHeight="1" x14ac:dyDescent="0.25">
      <c r="A13" s="152" t="s">
        <v>12</v>
      </c>
      <c r="B13" s="149"/>
      <c r="C13" s="11"/>
      <c r="D13" s="12"/>
      <c r="E13" s="155" t="s">
        <v>12</v>
      </c>
      <c r="F13" s="149"/>
      <c r="G13" s="11"/>
      <c r="H13" s="6"/>
      <c r="I13" s="10"/>
      <c r="J13" s="152" t="s">
        <v>12</v>
      </c>
      <c r="K13" s="149"/>
      <c r="L13" s="11"/>
      <c r="M13" s="12"/>
      <c r="N13" s="155" t="s">
        <v>12</v>
      </c>
      <c r="O13" s="149"/>
      <c r="P13" s="11"/>
      <c r="Q13" s="6"/>
      <c r="R13" s="10"/>
      <c r="S13" s="152" t="s">
        <v>12</v>
      </c>
      <c r="T13" s="149"/>
      <c r="U13" s="11"/>
      <c r="V13" s="12"/>
      <c r="W13" s="155" t="s">
        <v>12</v>
      </c>
      <c r="X13" s="149"/>
      <c r="Y13" s="11"/>
      <c r="Z13" s="6"/>
      <c r="AA13" s="10"/>
      <c r="AB13" s="152" t="s">
        <v>12</v>
      </c>
      <c r="AC13" s="149"/>
      <c r="AD13" s="11"/>
      <c r="AE13" s="12"/>
      <c r="AF13" s="155" t="s">
        <v>12</v>
      </c>
      <c r="AG13" s="149"/>
      <c r="AH13" s="11"/>
      <c r="AI13" s="6"/>
      <c r="AJ13" s="10"/>
      <c r="AK13" s="152" t="s">
        <v>12</v>
      </c>
      <c r="AL13" s="149"/>
      <c r="AM13" s="11"/>
      <c r="AN13" s="12"/>
      <c r="AO13" s="155" t="s">
        <v>12</v>
      </c>
      <c r="AP13" s="149"/>
      <c r="AQ13" s="11"/>
      <c r="AR13" s="6"/>
      <c r="AS13" s="10"/>
    </row>
    <row r="14" spans="1:45" ht="13.2" x14ac:dyDescent="0.25">
      <c r="A14" s="159" t="s">
        <v>13</v>
      </c>
      <c r="B14" s="149"/>
      <c r="C14" s="13"/>
      <c r="D14" s="14"/>
      <c r="E14" s="159" t="s">
        <v>13</v>
      </c>
      <c r="F14" s="149"/>
      <c r="G14" s="13"/>
      <c r="H14" s="6"/>
      <c r="I14" s="10"/>
      <c r="J14" s="159" t="s">
        <v>13</v>
      </c>
      <c r="K14" s="149"/>
      <c r="L14" s="13"/>
      <c r="M14" s="14"/>
      <c r="N14" s="159" t="s">
        <v>13</v>
      </c>
      <c r="O14" s="149"/>
      <c r="P14" s="13"/>
      <c r="Q14" s="6"/>
      <c r="R14" s="10"/>
      <c r="S14" s="159" t="s">
        <v>13</v>
      </c>
      <c r="T14" s="149"/>
      <c r="U14" s="13"/>
      <c r="V14" s="14"/>
      <c r="W14" s="159" t="s">
        <v>13</v>
      </c>
      <c r="X14" s="149"/>
      <c r="Y14" s="13"/>
      <c r="Z14" s="6"/>
      <c r="AA14" s="10"/>
      <c r="AB14" s="159" t="s">
        <v>13</v>
      </c>
      <c r="AC14" s="149"/>
      <c r="AD14" s="13"/>
      <c r="AE14" s="14"/>
      <c r="AF14" s="159" t="s">
        <v>13</v>
      </c>
      <c r="AG14" s="149"/>
      <c r="AH14" s="13"/>
      <c r="AI14" s="6"/>
      <c r="AJ14" s="10"/>
      <c r="AK14" s="159" t="s">
        <v>13</v>
      </c>
      <c r="AL14" s="149"/>
      <c r="AM14" s="13"/>
      <c r="AN14" s="14"/>
      <c r="AO14" s="159" t="s">
        <v>13</v>
      </c>
      <c r="AP14" s="149"/>
      <c r="AQ14" s="13"/>
      <c r="AR14" s="6"/>
      <c r="AS14" s="10"/>
    </row>
    <row r="15" spans="1:45" ht="13.8" x14ac:dyDescent="0.25">
      <c r="A15" s="156" t="s">
        <v>14</v>
      </c>
      <c r="B15" s="149"/>
      <c r="C15" s="15"/>
      <c r="D15" s="16"/>
      <c r="E15" s="156" t="s">
        <v>14</v>
      </c>
      <c r="F15" s="149"/>
      <c r="G15" s="15"/>
      <c r="H15" s="6"/>
      <c r="I15" s="10"/>
      <c r="J15" s="156" t="s">
        <v>14</v>
      </c>
      <c r="K15" s="149"/>
      <c r="L15" s="15"/>
      <c r="M15" s="16"/>
      <c r="N15" s="156" t="s">
        <v>14</v>
      </c>
      <c r="O15" s="149"/>
      <c r="P15" s="15"/>
      <c r="Q15" s="6"/>
      <c r="R15" s="10"/>
      <c r="S15" s="156" t="s">
        <v>14</v>
      </c>
      <c r="T15" s="149"/>
      <c r="U15" s="15"/>
      <c r="V15" s="16"/>
      <c r="W15" s="156" t="s">
        <v>14</v>
      </c>
      <c r="X15" s="149"/>
      <c r="Y15" s="15"/>
      <c r="Z15" s="6"/>
      <c r="AA15" s="10"/>
      <c r="AB15" s="156" t="s">
        <v>14</v>
      </c>
      <c r="AC15" s="149"/>
      <c r="AD15" s="15"/>
      <c r="AE15" s="16"/>
      <c r="AF15" s="156" t="s">
        <v>14</v>
      </c>
      <c r="AG15" s="149"/>
      <c r="AH15" s="15"/>
      <c r="AI15" s="6"/>
      <c r="AJ15" s="10"/>
      <c r="AK15" s="156" t="s">
        <v>14</v>
      </c>
      <c r="AL15" s="149"/>
      <c r="AM15" s="15"/>
      <c r="AN15" s="16"/>
      <c r="AO15" s="156" t="s">
        <v>14</v>
      </c>
      <c r="AP15" s="149"/>
      <c r="AQ15" s="15"/>
      <c r="AR15" s="6"/>
      <c r="AS15" s="10"/>
    </row>
    <row r="16" spans="1:45" ht="13.8" x14ac:dyDescent="0.25">
      <c r="A16" s="156" t="s">
        <v>15</v>
      </c>
      <c r="B16" s="149"/>
      <c r="C16" s="15"/>
      <c r="D16" s="16"/>
      <c r="E16" s="156" t="s">
        <v>15</v>
      </c>
      <c r="F16" s="149"/>
      <c r="G16" s="15"/>
      <c r="H16" s="6"/>
      <c r="I16" s="10"/>
      <c r="J16" s="156" t="s">
        <v>15</v>
      </c>
      <c r="K16" s="149"/>
      <c r="L16" s="15"/>
      <c r="M16" s="16"/>
      <c r="N16" s="156" t="s">
        <v>15</v>
      </c>
      <c r="O16" s="149"/>
      <c r="P16" s="15"/>
      <c r="Q16" s="6"/>
      <c r="R16" s="10"/>
      <c r="S16" s="156" t="s">
        <v>15</v>
      </c>
      <c r="T16" s="149"/>
      <c r="U16" s="15"/>
      <c r="V16" s="16"/>
      <c r="W16" s="156" t="s">
        <v>15</v>
      </c>
      <c r="X16" s="149"/>
      <c r="Y16" s="15"/>
      <c r="Z16" s="6"/>
      <c r="AA16" s="10"/>
      <c r="AB16" s="156" t="s">
        <v>15</v>
      </c>
      <c r="AC16" s="149"/>
      <c r="AD16" s="15"/>
      <c r="AE16" s="16"/>
      <c r="AF16" s="156" t="s">
        <v>15</v>
      </c>
      <c r="AG16" s="149"/>
      <c r="AH16" s="15"/>
      <c r="AI16" s="6"/>
      <c r="AJ16" s="10"/>
      <c r="AK16" s="156" t="s">
        <v>15</v>
      </c>
      <c r="AL16" s="149"/>
      <c r="AM16" s="15"/>
      <c r="AN16" s="16"/>
      <c r="AO16" s="156" t="s">
        <v>15</v>
      </c>
      <c r="AP16" s="149"/>
      <c r="AQ16" s="15"/>
      <c r="AR16" s="6"/>
      <c r="AS16" s="10"/>
    </row>
    <row r="17" spans="1:53" ht="13.8" x14ac:dyDescent="0.25">
      <c r="A17" s="156" t="s">
        <v>16</v>
      </c>
      <c r="B17" s="149"/>
      <c r="C17" s="15"/>
      <c r="D17" s="17"/>
      <c r="E17" s="156" t="s">
        <v>17</v>
      </c>
      <c r="F17" s="149"/>
      <c r="G17" s="18"/>
      <c r="H17" s="6"/>
      <c r="I17" s="10"/>
      <c r="J17" s="156" t="s">
        <v>16</v>
      </c>
      <c r="K17" s="149"/>
      <c r="L17" s="15"/>
      <c r="M17" s="17"/>
      <c r="N17" s="156" t="s">
        <v>17</v>
      </c>
      <c r="O17" s="149"/>
      <c r="P17" s="18"/>
      <c r="Q17" s="6"/>
      <c r="R17" s="10"/>
      <c r="S17" s="156" t="s">
        <v>16</v>
      </c>
      <c r="T17" s="149"/>
      <c r="U17" s="15"/>
      <c r="V17" s="17"/>
      <c r="W17" s="156" t="s">
        <v>17</v>
      </c>
      <c r="X17" s="149"/>
      <c r="Y17" s="18"/>
      <c r="Z17" s="6"/>
      <c r="AA17" s="10"/>
      <c r="AB17" s="156" t="s">
        <v>16</v>
      </c>
      <c r="AC17" s="149"/>
      <c r="AD17" s="15"/>
      <c r="AE17" s="17"/>
      <c r="AF17" s="156" t="s">
        <v>17</v>
      </c>
      <c r="AG17" s="149"/>
      <c r="AH17" s="18"/>
      <c r="AI17" s="6"/>
      <c r="AJ17" s="10"/>
      <c r="AK17" s="156" t="s">
        <v>16</v>
      </c>
      <c r="AL17" s="149"/>
      <c r="AM17" s="15"/>
      <c r="AN17" s="17"/>
      <c r="AO17" s="156" t="s">
        <v>17</v>
      </c>
      <c r="AP17" s="149"/>
      <c r="AQ17" s="18"/>
      <c r="AR17" s="6"/>
      <c r="AS17" s="10"/>
    </row>
    <row r="18" spans="1:53" ht="47.25" customHeight="1" x14ac:dyDescent="0.25">
      <c r="A18" s="156" t="s">
        <v>18</v>
      </c>
      <c r="B18" s="149"/>
      <c r="C18" s="15"/>
      <c r="D18" s="17"/>
      <c r="E18" s="156" t="s">
        <v>18</v>
      </c>
      <c r="F18" s="149"/>
      <c r="G18" s="15"/>
      <c r="H18" s="6"/>
      <c r="I18" s="10"/>
      <c r="J18" s="156" t="s">
        <v>18</v>
      </c>
      <c r="K18" s="149"/>
      <c r="L18" s="15"/>
      <c r="M18" s="17"/>
      <c r="N18" s="156" t="s">
        <v>18</v>
      </c>
      <c r="O18" s="149"/>
      <c r="P18" s="15"/>
      <c r="Q18" s="6"/>
      <c r="R18" s="10"/>
      <c r="S18" s="156" t="s">
        <v>18</v>
      </c>
      <c r="T18" s="149"/>
      <c r="U18" s="15"/>
      <c r="V18" s="17"/>
      <c r="W18" s="156" t="s">
        <v>18</v>
      </c>
      <c r="X18" s="149"/>
      <c r="Y18" s="15"/>
      <c r="Z18" s="6"/>
      <c r="AA18" s="10"/>
      <c r="AB18" s="156" t="s">
        <v>18</v>
      </c>
      <c r="AC18" s="149"/>
      <c r="AD18" s="15"/>
      <c r="AE18" s="17"/>
      <c r="AF18" s="156" t="s">
        <v>18</v>
      </c>
      <c r="AG18" s="149"/>
      <c r="AH18" s="15"/>
      <c r="AI18" s="6"/>
      <c r="AJ18" s="10"/>
      <c r="AK18" s="156" t="s">
        <v>18</v>
      </c>
      <c r="AL18" s="149"/>
      <c r="AM18" s="15"/>
      <c r="AN18" s="17"/>
      <c r="AO18" s="156" t="s">
        <v>18</v>
      </c>
      <c r="AP18" s="149"/>
      <c r="AQ18" s="15"/>
      <c r="AR18" s="6"/>
      <c r="AS18" s="10"/>
    </row>
    <row r="19" spans="1:53" ht="33" customHeight="1" x14ac:dyDescent="0.25">
      <c r="A19" s="157" t="s">
        <v>19</v>
      </c>
      <c r="B19" s="19" t="s">
        <v>20</v>
      </c>
      <c r="C19" s="15"/>
      <c r="D19" s="6"/>
      <c r="E19" s="157" t="s">
        <v>19</v>
      </c>
      <c r="F19" s="19" t="s">
        <v>20</v>
      </c>
      <c r="G19" s="15"/>
      <c r="H19" s="6"/>
      <c r="I19" s="10"/>
      <c r="J19" s="157" t="s">
        <v>19</v>
      </c>
      <c r="K19" s="19" t="s">
        <v>20</v>
      </c>
      <c r="L19" s="15"/>
      <c r="M19" s="6"/>
      <c r="N19" s="157" t="s">
        <v>19</v>
      </c>
      <c r="O19" s="19" t="s">
        <v>20</v>
      </c>
      <c r="P19" s="15"/>
      <c r="Q19" s="6"/>
      <c r="R19" s="10"/>
      <c r="S19" s="157" t="s">
        <v>19</v>
      </c>
      <c r="T19" s="19" t="s">
        <v>20</v>
      </c>
      <c r="U19" s="15"/>
      <c r="V19" s="6"/>
      <c r="W19" s="157" t="s">
        <v>19</v>
      </c>
      <c r="X19" s="19" t="s">
        <v>20</v>
      </c>
      <c r="Y19" s="15"/>
      <c r="Z19" s="6"/>
      <c r="AA19" s="10"/>
      <c r="AB19" s="157" t="s">
        <v>19</v>
      </c>
      <c r="AC19" s="19" t="s">
        <v>20</v>
      </c>
      <c r="AD19" s="15"/>
      <c r="AE19" s="6"/>
      <c r="AF19" s="157" t="s">
        <v>19</v>
      </c>
      <c r="AG19" s="19" t="s">
        <v>20</v>
      </c>
      <c r="AH19" s="15"/>
      <c r="AI19" s="6"/>
      <c r="AJ19" s="10"/>
      <c r="AK19" s="157" t="s">
        <v>19</v>
      </c>
      <c r="AL19" s="19" t="s">
        <v>20</v>
      </c>
      <c r="AM19" s="15"/>
      <c r="AN19" s="6"/>
      <c r="AO19" s="157" t="s">
        <v>19</v>
      </c>
      <c r="AP19" s="19" t="s">
        <v>20</v>
      </c>
      <c r="AQ19" s="15"/>
      <c r="AR19" s="6"/>
      <c r="AS19" s="10"/>
    </row>
    <row r="20" spans="1:53" ht="39" customHeight="1" x14ac:dyDescent="0.25">
      <c r="A20" s="158"/>
      <c r="B20" s="20" t="s">
        <v>21</v>
      </c>
      <c r="C20" s="15"/>
      <c r="D20" s="6"/>
      <c r="E20" s="158"/>
      <c r="F20" s="21" t="s">
        <v>21</v>
      </c>
      <c r="G20" s="15"/>
      <c r="H20" s="6"/>
      <c r="I20" s="10"/>
      <c r="J20" s="158"/>
      <c r="K20" s="20" t="s">
        <v>21</v>
      </c>
      <c r="L20" s="15"/>
      <c r="M20" s="6"/>
      <c r="N20" s="158"/>
      <c r="O20" s="21" t="s">
        <v>21</v>
      </c>
      <c r="P20" s="15"/>
      <c r="Q20" s="6"/>
      <c r="R20" s="10"/>
      <c r="S20" s="158"/>
      <c r="T20" s="20" t="s">
        <v>21</v>
      </c>
      <c r="U20" s="15"/>
      <c r="V20" s="6"/>
      <c r="W20" s="158"/>
      <c r="X20" s="21" t="s">
        <v>21</v>
      </c>
      <c r="Y20" s="15"/>
      <c r="Z20" s="6"/>
      <c r="AA20" s="10"/>
      <c r="AB20" s="158"/>
      <c r="AC20" s="20" t="s">
        <v>21</v>
      </c>
      <c r="AD20" s="15"/>
      <c r="AE20" s="6"/>
      <c r="AF20" s="158"/>
      <c r="AG20" s="21" t="s">
        <v>21</v>
      </c>
      <c r="AH20" s="15"/>
      <c r="AI20" s="6"/>
      <c r="AJ20" s="10"/>
      <c r="AK20" s="158"/>
      <c r="AL20" s="20" t="s">
        <v>21</v>
      </c>
      <c r="AM20" s="15"/>
      <c r="AN20" s="6"/>
      <c r="AO20" s="158"/>
      <c r="AP20" s="21" t="s">
        <v>21</v>
      </c>
      <c r="AQ20" s="15"/>
      <c r="AR20" s="6"/>
      <c r="AS20" s="10"/>
    </row>
    <row r="21" spans="1:53" ht="36.75" customHeight="1" x14ac:dyDescent="0.25">
      <c r="A21" s="159" t="s">
        <v>22</v>
      </c>
      <c r="B21" s="149"/>
      <c r="C21" s="15"/>
      <c r="D21" s="6"/>
      <c r="E21" s="159" t="s">
        <v>22</v>
      </c>
      <c r="F21" s="149"/>
      <c r="G21" s="15"/>
      <c r="H21" s="6"/>
      <c r="I21" s="10"/>
      <c r="J21" s="159" t="s">
        <v>22</v>
      </c>
      <c r="K21" s="149"/>
      <c r="L21" s="15"/>
      <c r="M21" s="6"/>
      <c r="N21" s="159" t="s">
        <v>22</v>
      </c>
      <c r="O21" s="149"/>
      <c r="P21" s="15"/>
      <c r="Q21" s="6"/>
      <c r="R21" s="10"/>
      <c r="S21" s="159" t="s">
        <v>22</v>
      </c>
      <c r="T21" s="149"/>
      <c r="U21" s="15"/>
      <c r="V21" s="6"/>
      <c r="W21" s="159" t="s">
        <v>22</v>
      </c>
      <c r="X21" s="149"/>
      <c r="Y21" s="15"/>
      <c r="Z21" s="6"/>
      <c r="AA21" s="10"/>
      <c r="AB21" s="159" t="s">
        <v>22</v>
      </c>
      <c r="AC21" s="149"/>
      <c r="AD21" s="15"/>
      <c r="AE21" s="6"/>
      <c r="AF21" s="159" t="s">
        <v>22</v>
      </c>
      <c r="AG21" s="149"/>
      <c r="AH21" s="15"/>
      <c r="AI21" s="6"/>
      <c r="AJ21" s="10"/>
      <c r="AK21" s="159" t="s">
        <v>22</v>
      </c>
      <c r="AL21" s="149"/>
      <c r="AM21" s="15"/>
      <c r="AN21" s="6"/>
      <c r="AO21" s="159" t="s">
        <v>22</v>
      </c>
      <c r="AP21" s="149"/>
      <c r="AQ21" s="15"/>
      <c r="AR21" s="6"/>
      <c r="AS21" s="10"/>
    </row>
    <row r="22" spans="1:53" ht="36.75" customHeight="1" x14ac:dyDescent="0.25">
      <c r="A22" s="160" t="s">
        <v>23</v>
      </c>
      <c r="B22" s="149"/>
      <c r="C22" s="22">
        <f>SUM(C19-C18)</f>
        <v>0</v>
      </c>
      <c r="D22" s="6"/>
      <c r="E22" s="160" t="s">
        <v>24</v>
      </c>
      <c r="F22" s="149"/>
      <c r="G22" s="22">
        <f>ABS(SUM(G18-G19))</f>
        <v>0</v>
      </c>
      <c r="H22" s="6"/>
      <c r="I22" s="10"/>
      <c r="J22" s="160" t="s">
        <v>25</v>
      </c>
      <c r="K22" s="149"/>
      <c r="L22" s="22">
        <f>SUM(L19-L18)</f>
        <v>0</v>
      </c>
      <c r="M22" s="6"/>
      <c r="N22" s="160" t="s">
        <v>26</v>
      </c>
      <c r="O22" s="149"/>
      <c r="P22" s="22">
        <f>ABS(SUM(P18-P19))</f>
        <v>0</v>
      </c>
      <c r="Q22" s="6"/>
      <c r="R22" s="10"/>
      <c r="S22" s="160" t="s">
        <v>27</v>
      </c>
      <c r="T22" s="149"/>
      <c r="U22" s="22">
        <f>SUM(U19-U18)</f>
        <v>0</v>
      </c>
      <c r="V22" s="6"/>
      <c r="W22" s="160" t="s">
        <v>28</v>
      </c>
      <c r="X22" s="149"/>
      <c r="Y22" s="22">
        <f>ABS(SUM(Y18-Y19))</f>
        <v>0</v>
      </c>
      <c r="Z22" s="6"/>
      <c r="AA22" s="10"/>
      <c r="AB22" s="160" t="s">
        <v>29</v>
      </c>
      <c r="AC22" s="149"/>
      <c r="AD22" s="22">
        <f>SUM(AD19-AD18)</f>
        <v>0</v>
      </c>
      <c r="AE22" s="6"/>
      <c r="AF22" s="160" t="s">
        <v>30</v>
      </c>
      <c r="AG22" s="149"/>
      <c r="AH22" s="22">
        <f>ABS(SUM(AH18-AH19))</f>
        <v>0</v>
      </c>
      <c r="AI22" s="6"/>
      <c r="AJ22" s="10"/>
      <c r="AK22" s="160" t="s">
        <v>31</v>
      </c>
      <c r="AL22" s="149"/>
      <c r="AM22" s="22">
        <f>SUM(AM19-AM18)</f>
        <v>0</v>
      </c>
      <c r="AN22" s="6"/>
      <c r="AO22" s="160" t="s">
        <v>32</v>
      </c>
      <c r="AP22" s="149"/>
      <c r="AQ22" s="22">
        <f>ABS(SUM(AQ18-AQ19))</f>
        <v>0</v>
      </c>
      <c r="AR22" s="6"/>
      <c r="AS22" s="10"/>
    </row>
    <row r="23" spans="1:53" ht="32.25" customHeight="1" x14ac:dyDescent="0.25">
      <c r="A23" s="160" t="s">
        <v>33</v>
      </c>
      <c r="B23" s="149"/>
      <c r="C23" s="23">
        <f>SUM(C20-C18)</f>
        <v>0</v>
      </c>
      <c r="D23" s="6"/>
      <c r="E23" s="160" t="s">
        <v>34</v>
      </c>
      <c r="F23" s="149"/>
      <c r="G23" s="23">
        <f>ABS(SUM(G18-G20))</f>
        <v>0</v>
      </c>
      <c r="H23" s="6"/>
      <c r="I23" s="10"/>
      <c r="J23" s="160" t="s">
        <v>35</v>
      </c>
      <c r="K23" s="149"/>
      <c r="L23" s="23">
        <f>SUM(L20-L18)</f>
        <v>0</v>
      </c>
      <c r="M23" s="6"/>
      <c r="N23" s="160" t="s">
        <v>36</v>
      </c>
      <c r="O23" s="149"/>
      <c r="P23" s="23">
        <f>ABS(SUM(P18-P20))</f>
        <v>0</v>
      </c>
      <c r="Q23" s="6"/>
      <c r="R23" s="10"/>
      <c r="S23" s="160" t="s">
        <v>37</v>
      </c>
      <c r="T23" s="149"/>
      <c r="U23" s="23">
        <f>SUM(U20-U18)</f>
        <v>0</v>
      </c>
      <c r="V23" s="6"/>
      <c r="W23" s="160" t="s">
        <v>38</v>
      </c>
      <c r="X23" s="149"/>
      <c r="Y23" s="23">
        <f>ABS(SUM(Y18-Y20))</f>
        <v>0</v>
      </c>
      <c r="Z23" s="6"/>
      <c r="AA23" s="10"/>
      <c r="AB23" s="160" t="s">
        <v>39</v>
      </c>
      <c r="AC23" s="149"/>
      <c r="AD23" s="23">
        <f>SUM(AD20-AD18)</f>
        <v>0</v>
      </c>
      <c r="AE23" s="6"/>
      <c r="AF23" s="160" t="s">
        <v>40</v>
      </c>
      <c r="AG23" s="149"/>
      <c r="AH23" s="23">
        <f>ABS(SUM(AH18-AH20))</f>
        <v>0</v>
      </c>
      <c r="AI23" s="6"/>
      <c r="AJ23" s="10"/>
      <c r="AK23" s="160" t="s">
        <v>41</v>
      </c>
      <c r="AL23" s="149"/>
      <c r="AM23" s="23">
        <f>SUM(AM20-AM18)</f>
        <v>0</v>
      </c>
      <c r="AN23" s="6"/>
      <c r="AO23" s="160" t="s">
        <v>42</v>
      </c>
      <c r="AP23" s="149"/>
      <c r="AQ23" s="23">
        <f>ABS(SUM(AQ18-AQ20))</f>
        <v>0</v>
      </c>
      <c r="AR23" s="6"/>
      <c r="AS23" s="10"/>
    </row>
    <row r="24" spans="1:53" ht="13.2" x14ac:dyDescent="0.25">
      <c r="A24" s="160" t="s">
        <v>43</v>
      </c>
      <c r="B24" s="149"/>
      <c r="C24" s="24">
        <f>SUM(C18-C21)</f>
        <v>0</v>
      </c>
      <c r="D24" s="6"/>
      <c r="E24" s="160" t="s">
        <v>44</v>
      </c>
      <c r="F24" s="149"/>
      <c r="G24" s="24">
        <f>ABS(SUM(G21-G18))</f>
        <v>0</v>
      </c>
      <c r="H24" s="6"/>
      <c r="I24" s="10"/>
      <c r="J24" s="160" t="s">
        <v>45</v>
      </c>
      <c r="K24" s="149"/>
      <c r="L24" s="24">
        <f>SUM(L18-L21)</f>
        <v>0</v>
      </c>
      <c r="M24" s="6"/>
      <c r="N24" s="160" t="s">
        <v>46</v>
      </c>
      <c r="O24" s="149"/>
      <c r="P24" s="24">
        <f>ABS(SUM(P21-P18))</f>
        <v>0</v>
      </c>
      <c r="Q24" s="6"/>
      <c r="R24" s="10"/>
      <c r="S24" s="160" t="s">
        <v>47</v>
      </c>
      <c r="T24" s="149"/>
      <c r="U24" s="24">
        <f>SUM(U18-U21)</f>
        <v>0</v>
      </c>
      <c r="V24" s="6"/>
      <c r="W24" s="160" t="s">
        <v>48</v>
      </c>
      <c r="X24" s="149"/>
      <c r="Y24" s="24">
        <f>ABS(SUM(Y21-Y18))</f>
        <v>0</v>
      </c>
      <c r="Z24" s="6"/>
      <c r="AA24" s="10"/>
      <c r="AB24" s="160" t="s">
        <v>49</v>
      </c>
      <c r="AC24" s="149"/>
      <c r="AD24" s="24">
        <f>SUM(AD18-AD21)</f>
        <v>0</v>
      </c>
      <c r="AE24" s="6"/>
      <c r="AF24" s="160" t="s">
        <v>50</v>
      </c>
      <c r="AG24" s="149"/>
      <c r="AH24" s="24">
        <f>ABS(SUM(AH21-AH18))</f>
        <v>0</v>
      </c>
      <c r="AI24" s="6"/>
      <c r="AJ24" s="10"/>
      <c r="AK24" s="160" t="s">
        <v>51</v>
      </c>
      <c r="AL24" s="149"/>
      <c r="AM24" s="24">
        <f>SUM(AM18-AM21)</f>
        <v>0</v>
      </c>
      <c r="AN24" s="6"/>
      <c r="AO24" s="160" t="s">
        <v>52</v>
      </c>
      <c r="AP24" s="149"/>
      <c r="AQ24" s="24">
        <f>ABS(SUM(AQ21-AQ18))</f>
        <v>0</v>
      </c>
      <c r="AR24" s="6"/>
      <c r="AS24" s="10"/>
    </row>
    <row r="25" spans="1:53" ht="26.25" customHeight="1" x14ac:dyDescent="0.25">
      <c r="A25" s="161" t="s">
        <v>53</v>
      </c>
      <c r="B25" s="25" t="s">
        <v>20</v>
      </c>
      <c r="C25" s="26" t="e">
        <f>C24/(TRUNC(C24,C22))&amp;":"&amp;C22/TRUNC(C24,C22)</f>
        <v>#DIV/0!</v>
      </c>
      <c r="D25" s="6"/>
      <c r="E25" s="161" t="s">
        <v>54</v>
      </c>
      <c r="F25" s="27" t="s">
        <v>20</v>
      </c>
      <c r="G25" s="26" t="e">
        <f>G24/(TRUNC(G24,G22))&amp;":"&amp;G22/TRUNC(G24,G22)</f>
        <v>#DIV/0!</v>
      </c>
      <c r="H25" s="6"/>
      <c r="I25" s="10"/>
      <c r="J25" s="161" t="s">
        <v>53</v>
      </c>
      <c r="K25" s="25" t="s">
        <v>20</v>
      </c>
      <c r="L25" s="26" t="e">
        <f>L24/(TRUNC(L24,L22))&amp;":"&amp;L22/TRUNC(L24,L22)</f>
        <v>#DIV/0!</v>
      </c>
      <c r="M25" s="6"/>
      <c r="N25" s="161" t="s">
        <v>54</v>
      </c>
      <c r="O25" s="27" t="s">
        <v>20</v>
      </c>
      <c r="P25" s="26" t="e">
        <f>P24/(TRUNC(P24,P22))&amp;":"&amp;P22/TRUNC(P24,P22)</f>
        <v>#DIV/0!</v>
      </c>
      <c r="Q25" s="6"/>
      <c r="R25" s="10"/>
      <c r="S25" s="161" t="s">
        <v>53</v>
      </c>
      <c r="T25" s="25" t="s">
        <v>20</v>
      </c>
      <c r="U25" s="26" t="e">
        <f>U24/(TRUNC(U24,U22))&amp;":"&amp;U22/TRUNC(U24,U22)</f>
        <v>#DIV/0!</v>
      </c>
      <c r="V25" s="6"/>
      <c r="W25" s="161" t="s">
        <v>54</v>
      </c>
      <c r="X25" s="27" t="s">
        <v>20</v>
      </c>
      <c r="Y25" s="26" t="e">
        <f>Y24/(TRUNC(Y24,Y22))&amp;":"&amp;Y22/TRUNC(Y24,Y22)</f>
        <v>#DIV/0!</v>
      </c>
      <c r="Z25" s="6"/>
      <c r="AA25" s="10"/>
      <c r="AB25" s="161" t="s">
        <v>53</v>
      </c>
      <c r="AC25" s="25" t="s">
        <v>20</v>
      </c>
      <c r="AD25" s="26" t="e">
        <f>AD24/(TRUNC(AD24,AD22))&amp;":"&amp;AD22/TRUNC(AD24,AD22)</f>
        <v>#DIV/0!</v>
      </c>
      <c r="AE25" s="6"/>
      <c r="AF25" s="161" t="s">
        <v>54</v>
      </c>
      <c r="AG25" s="27" t="s">
        <v>20</v>
      </c>
      <c r="AH25" s="26" t="e">
        <f>AH24/(TRUNC(AH24,AH22))&amp;":"&amp;AH22/TRUNC(AH24,AH22)</f>
        <v>#DIV/0!</v>
      </c>
      <c r="AI25" s="6"/>
      <c r="AJ25" s="10"/>
      <c r="AK25" s="161" t="s">
        <v>53</v>
      </c>
      <c r="AL25" s="25" t="s">
        <v>20</v>
      </c>
      <c r="AM25" s="26" t="e">
        <f>AM24/(TRUNC(AM24,AM22))&amp;":"&amp;AM22/TRUNC(AM24,AM22)</f>
        <v>#DIV/0!</v>
      </c>
      <c r="AN25" s="6"/>
      <c r="AO25" s="161" t="s">
        <v>54</v>
      </c>
      <c r="AP25" s="27" t="s">
        <v>20</v>
      </c>
      <c r="AQ25" s="26" t="e">
        <f>AQ24/(TRUNC(AQ24,AQ22))&amp;":"&amp;AQ22/TRUNC(AQ24,AQ22)</f>
        <v>#DIV/0!</v>
      </c>
      <c r="AR25" s="6"/>
      <c r="AS25" s="10"/>
    </row>
    <row r="26" spans="1:53" ht="25.5" customHeight="1" x14ac:dyDescent="0.25">
      <c r="A26" s="158"/>
      <c r="B26" s="27" t="s">
        <v>21</v>
      </c>
      <c r="C26" s="28" t="e">
        <f>C24/(TRUNC(C24,C23))&amp;":"&amp;C23/TRUNC(C24,C23)</f>
        <v>#DIV/0!</v>
      </c>
      <c r="D26" s="6"/>
      <c r="E26" s="158"/>
      <c r="F26" s="27" t="s">
        <v>21</v>
      </c>
      <c r="G26" s="28" t="e">
        <f>G24/(TRUNC(G24,G23))&amp;":"&amp;G23/TRUNC(G24,G23)</f>
        <v>#DIV/0!</v>
      </c>
      <c r="H26" s="6"/>
      <c r="I26" s="10"/>
      <c r="J26" s="158"/>
      <c r="K26" s="27" t="s">
        <v>21</v>
      </c>
      <c r="L26" s="28" t="e">
        <f>L24/(TRUNC(L24,L23))&amp;":"&amp;L23/TRUNC(L24,L23)</f>
        <v>#DIV/0!</v>
      </c>
      <c r="M26" s="6"/>
      <c r="N26" s="158"/>
      <c r="O26" s="27" t="s">
        <v>21</v>
      </c>
      <c r="P26" s="28" t="e">
        <f>P24/(TRUNC(P24,P23))&amp;":"&amp;P23/TRUNC(P24,P23)</f>
        <v>#DIV/0!</v>
      </c>
      <c r="Q26" s="6"/>
      <c r="R26" s="10"/>
      <c r="S26" s="158"/>
      <c r="T26" s="27" t="s">
        <v>21</v>
      </c>
      <c r="U26" s="28" t="e">
        <f>U24/(TRUNC(U24,U23))&amp;":"&amp;U23/TRUNC(U24,U23)</f>
        <v>#DIV/0!</v>
      </c>
      <c r="V26" s="6"/>
      <c r="W26" s="158"/>
      <c r="X26" s="27" t="s">
        <v>21</v>
      </c>
      <c r="Y26" s="28" t="e">
        <f>Y24/(TRUNC(Y24,Y23))&amp;":"&amp;Y23/TRUNC(Y24,Y23)</f>
        <v>#DIV/0!</v>
      </c>
      <c r="Z26" s="6"/>
      <c r="AA26" s="10"/>
      <c r="AB26" s="158"/>
      <c r="AC26" s="27" t="s">
        <v>21</v>
      </c>
      <c r="AD26" s="28" t="e">
        <f>AD24/(TRUNC(AD24,AD23))&amp;":"&amp;AD23/TRUNC(AD24,AD23)</f>
        <v>#DIV/0!</v>
      </c>
      <c r="AE26" s="6"/>
      <c r="AF26" s="158"/>
      <c r="AG26" s="27" t="s">
        <v>21</v>
      </c>
      <c r="AH26" s="28" t="e">
        <f>AH24/(TRUNC(AH24,AH23))&amp;":"&amp;AH23/TRUNC(AH24,AH23)</f>
        <v>#DIV/0!</v>
      </c>
      <c r="AI26" s="6"/>
      <c r="AJ26" s="10"/>
      <c r="AK26" s="158"/>
      <c r="AL26" s="27" t="s">
        <v>21</v>
      </c>
      <c r="AM26" s="28" t="e">
        <f>AM24/(TRUNC(AM24,AM23))&amp;":"&amp;AM23/TRUNC(AM24,AM23)</f>
        <v>#DIV/0!</v>
      </c>
      <c r="AN26" s="6"/>
      <c r="AO26" s="158"/>
      <c r="AP26" s="27" t="s">
        <v>21</v>
      </c>
      <c r="AQ26" s="28" t="e">
        <f>AQ24/(TRUNC(AQ24,AQ23))&amp;":"&amp;AQ23/TRUNC(AQ24,AQ23)</f>
        <v>#DIV/0!</v>
      </c>
      <c r="AR26" s="6"/>
      <c r="AS26" s="10"/>
    </row>
    <row r="27" spans="1:53" ht="13.2" x14ac:dyDescent="0.25">
      <c r="C27" s="6"/>
      <c r="D27" s="6"/>
      <c r="G27" s="6"/>
      <c r="H27" s="6"/>
      <c r="I27" s="4"/>
      <c r="L27" s="6"/>
      <c r="M27" s="6"/>
      <c r="P27" s="6"/>
      <c r="Q27" s="6"/>
      <c r="R27" s="4"/>
      <c r="U27" s="6"/>
      <c r="V27" s="6"/>
      <c r="Y27" s="6"/>
      <c r="Z27" s="6"/>
      <c r="AA27" s="4"/>
      <c r="AD27" s="6"/>
      <c r="AE27" s="6"/>
      <c r="AH27" s="6"/>
      <c r="AI27" s="6"/>
      <c r="AJ27" s="4"/>
      <c r="AM27" s="6"/>
      <c r="AN27" s="6"/>
      <c r="AQ27" s="6"/>
      <c r="AR27" s="6"/>
      <c r="AS27" s="4"/>
    </row>
    <row r="28" spans="1:53" ht="13.2" x14ac:dyDescent="0.25">
      <c r="C28" s="6"/>
      <c r="D28" s="6"/>
      <c r="G28" s="6"/>
      <c r="H28" s="6"/>
      <c r="I28" s="4"/>
      <c r="L28" s="6"/>
      <c r="M28" s="6"/>
      <c r="P28" s="6"/>
      <c r="Q28" s="6"/>
      <c r="R28" s="4"/>
      <c r="U28" s="6"/>
      <c r="V28" s="6"/>
      <c r="Y28" s="6"/>
      <c r="Z28" s="6"/>
      <c r="AA28" s="4"/>
      <c r="AD28" s="6"/>
      <c r="AE28" s="6"/>
      <c r="AH28" s="6"/>
      <c r="AI28" s="6"/>
      <c r="AJ28" s="4"/>
      <c r="AM28" s="6"/>
      <c r="AN28" s="6"/>
      <c r="AQ28" s="6"/>
      <c r="AR28" s="6"/>
      <c r="AS28" s="4"/>
    </row>
    <row r="29" spans="1:53" ht="28.5" customHeight="1" x14ac:dyDescent="0.25">
      <c r="A29" s="163" t="s">
        <v>55</v>
      </c>
      <c r="B29" s="149"/>
      <c r="C29" s="29"/>
      <c r="D29" s="6"/>
      <c r="E29" s="163" t="s">
        <v>55</v>
      </c>
      <c r="F29" s="149"/>
      <c r="G29" s="29"/>
      <c r="H29" s="6"/>
      <c r="I29" s="10"/>
      <c r="J29" s="163" t="s">
        <v>55</v>
      </c>
      <c r="K29" s="149"/>
      <c r="L29" s="29"/>
      <c r="M29" s="6"/>
      <c r="N29" s="163" t="s">
        <v>55</v>
      </c>
      <c r="O29" s="149"/>
      <c r="P29" s="29"/>
      <c r="Q29" s="6"/>
      <c r="R29" s="10"/>
      <c r="S29" s="163" t="s">
        <v>55</v>
      </c>
      <c r="T29" s="149"/>
      <c r="U29" s="29"/>
      <c r="V29" s="6"/>
      <c r="W29" s="163" t="s">
        <v>55</v>
      </c>
      <c r="X29" s="149"/>
      <c r="Y29" s="29"/>
      <c r="Z29" s="6"/>
      <c r="AA29" s="10"/>
      <c r="AB29" s="163" t="s">
        <v>55</v>
      </c>
      <c r="AC29" s="149"/>
      <c r="AD29" s="29"/>
      <c r="AE29" s="6"/>
      <c r="AF29" s="163" t="s">
        <v>55</v>
      </c>
      <c r="AG29" s="149"/>
      <c r="AH29" s="29"/>
      <c r="AI29" s="6"/>
      <c r="AJ29" s="10"/>
      <c r="AK29" s="163" t="s">
        <v>55</v>
      </c>
      <c r="AL29" s="149"/>
      <c r="AM29" s="29"/>
      <c r="AN29" s="6"/>
      <c r="AO29" s="163" t="s">
        <v>55</v>
      </c>
      <c r="AP29" s="149"/>
      <c r="AQ29" s="29"/>
      <c r="AR29" s="6"/>
      <c r="AS29" s="10"/>
    </row>
    <row r="30" spans="1:53" ht="41.4" x14ac:dyDescent="0.25">
      <c r="A30" s="30" t="s">
        <v>56</v>
      </c>
      <c r="B30" s="31">
        <v>0.02</v>
      </c>
      <c r="C30" s="32">
        <f>SUM(C29/100)*2</f>
        <v>0</v>
      </c>
      <c r="D30" s="6"/>
      <c r="E30" s="33" t="s">
        <v>56</v>
      </c>
      <c r="F30" s="34">
        <v>0.02</v>
      </c>
      <c r="G30" s="32">
        <f>SUM(G29/100)*2</f>
        <v>0</v>
      </c>
      <c r="H30" s="6"/>
      <c r="I30" s="35"/>
      <c r="J30" s="30" t="s">
        <v>56</v>
      </c>
      <c r="K30" s="31">
        <v>0.02</v>
      </c>
      <c r="L30" s="32">
        <f>SUM(L29/100)*2</f>
        <v>0</v>
      </c>
      <c r="M30" s="6"/>
      <c r="N30" s="33" t="s">
        <v>56</v>
      </c>
      <c r="O30" s="34">
        <v>0.02</v>
      </c>
      <c r="P30" s="32">
        <f>SUM(P29/100)*2</f>
        <v>0</v>
      </c>
      <c r="Q30" s="6"/>
      <c r="R30" s="35"/>
      <c r="S30" s="30" t="s">
        <v>56</v>
      </c>
      <c r="T30" s="31">
        <v>0.02</v>
      </c>
      <c r="U30" s="32">
        <f>SUM(U29/100)*2</f>
        <v>0</v>
      </c>
      <c r="V30" s="6"/>
      <c r="W30" s="33" t="s">
        <v>56</v>
      </c>
      <c r="X30" s="34">
        <v>0.02</v>
      </c>
      <c r="Y30" s="32">
        <f>SUM(Y29/100)*2</f>
        <v>0</v>
      </c>
      <c r="Z30" s="6"/>
      <c r="AA30" s="35"/>
      <c r="AB30" s="30" t="s">
        <v>56</v>
      </c>
      <c r="AC30" s="31">
        <v>0.02</v>
      </c>
      <c r="AD30" s="32">
        <f>SUM(AD29/100)*2</f>
        <v>0</v>
      </c>
      <c r="AE30" s="6"/>
      <c r="AF30" s="33" t="s">
        <v>56</v>
      </c>
      <c r="AG30" s="34">
        <v>0.02</v>
      </c>
      <c r="AH30" s="32">
        <f>SUM(AH29/100)*2</f>
        <v>0</v>
      </c>
      <c r="AI30" s="6"/>
      <c r="AJ30" s="35"/>
      <c r="AK30" s="30" t="s">
        <v>56</v>
      </c>
      <c r="AL30" s="31">
        <v>0.02</v>
      </c>
      <c r="AM30" s="32">
        <f>SUM(AM29/100)*2</f>
        <v>0</v>
      </c>
      <c r="AN30" s="6"/>
      <c r="AO30" s="33" t="s">
        <v>56</v>
      </c>
      <c r="AP30" s="34">
        <v>0.02</v>
      </c>
      <c r="AQ30" s="32">
        <f>SUM(AQ29/100)*2</f>
        <v>0</v>
      </c>
      <c r="AR30" s="6"/>
      <c r="AS30" s="35"/>
      <c r="AT30" s="6"/>
      <c r="AU30" s="6"/>
      <c r="AV30" s="6"/>
      <c r="AW30" s="6"/>
      <c r="AX30" s="6"/>
      <c r="AY30" s="6"/>
      <c r="AZ30" s="6"/>
      <c r="BA30" s="6"/>
    </row>
    <row r="31" spans="1:53" ht="13.2" x14ac:dyDescent="0.25">
      <c r="A31" s="162" t="s">
        <v>57</v>
      </c>
      <c r="B31" s="149"/>
      <c r="C31" s="36" t="e">
        <f>INT(C30/C24)</f>
        <v>#DIV/0!</v>
      </c>
      <c r="D31" s="6"/>
      <c r="E31" s="164" t="s">
        <v>57</v>
      </c>
      <c r="F31" s="165"/>
      <c r="G31" s="36" t="e">
        <f>INT(G30/G24)</f>
        <v>#DIV/0!</v>
      </c>
      <c r="H31" s="6"/>
      <c r="I31" s="10"/>
      <c r="J31" s="162" t="s">
        <v>57</v>
      </c>
      <c r="K31" s="149"/>
      <c r="L31" s="36" t="e">
        <f>INT(L30/L24)</f>
        <v>#DIV/0!</v>
      </c>
      <c r="M31" s="6"/>
      <c r="N31" s="164" t="s">
        <v>57</v>
      </c>
      <c r="O31" s="165"/>
      <c r="P31" s="36" t="e">
        <f>INT(P30/P24)</f>
        <v>#DIV/0!</v>
      </c>
      <c r="Q31" s="6"/>
      <c r="R31" s="10"/>
      <c r="S31" s="162" t="s">
        <v>57</v>
      </c>
      <c r="T31" s="149"/>
      <c r="U31" s="36" t="e">
        <f>INT(U30/U24)</f>
        <v>#DIV/0!</v>
      </c>
      <c r="V31" s="6"/>
      <c r="W31" s="164" t="s">
        <v>57</v>
      </c>
      <c r="X31" s="165"/>
      <c r="Y31" s="36" t="e">
        <f>INT(Y30/Y24)</f>
        <v>#DIV/0!</v>
      </c>
      <c r="Z31" s="6"/>
      <c r="AA31" s="10"/>
      <c r="AB31" s="162" t="s">
        <v>57</v>
      </c>
      <c r="AC31" s="149"/>
      <c r="AD31" s="36" t="e">
        <f>INT(AD30/AD24)</f>
        <v>#DIV/0!</v>
      </c>
      <c r="AE31" s="6"/>
      <c r="AF31" s="164" t="s">
        <v>57</v>
      </c>
      <c r="AG31" s="165"/>
      <c r="AH31" s="36" t="e">
        <f>INT(AH30/AH24)</f>
        <v>#DIV/0!</v>
      </c>
      <c r="AI31" s="6"/>
      <c r="AJ31" s="10"/>
      <c r="AK31" s="162" t="s">
        <v>57</v>
      </c>
      <c r="AL31" s="149"/>
      <c r="AM31" s="36" t="e">
        <f>INT(AM30/AM24)</f>
        <v>#DIV/0!</v>
      </c>
      <c r="AN31" s="6"/>
      <c r="AO31" s="164" t="s">
        <v>57</v>
      </c>
      <c r="AP31" s="165"/>
      <c r="AQ31" s="36" t="e">
        <f>INT(AQ30/AQ24)</f>
        <v>#DIV/0!</v>
      </c>
      <c r="AR31" s="6"/>
      <c r="AS31" s="10"/>
    </row>
    <row r="32" spans="1:53" ht="13.2" x14ac:dyDescent="0.25">
      <c r="C32" s="6"/>
      <c r="D32" s="6"/>
      <c r="G32" s="6"/>
      <c r="H32" s="6"/>
      <c r="I32" s="4"/>
      <c r="L32" s="6"/>
      <c r="M32" s="6"/>
      <c r="P32" s="6"/>
      <c r="Q32" s="6"/>
      <c r="R32" s="4"/>
      <c r="U32" s="6"/>
      <c r="V32" s="6"/>
      <c r="Y32" s="6"/>
      <c r="Z32" s="6"/>
      <c r="AA32" s="4"/>
      <c r="AD32" s="6"/>
      <c r="AE32" s="6"/>
      <c r="AH32" s="6"/>
      <c r="AI32" s="6"/>
      <c r="AJ32" s="4"/>
      <c r="AM32" s="6"/>
      <c r="AN32" s="6"/>
      <c r="AQ32" s="6"/>
      <c r="AR32" s="6"/>
      <c r="AS32" s="4"/>
    </row>
    <row r="33" spans="1:53" ht="17.399999999999999" x14ac:dyDescent="0.25">
      <c r="A33" s="163" t="s">
        <v>58</v>
      </c>
      <c r="B33" s="149"/>
      <c r="C33" s="37" t="e">
        <f>SUM(C31*C18)</f>
        <v>#DIV/0!</v>
      </c>
      <c r="D33" s="38"/>
      <c r="E33" s="163" t="s">
        <v>58</v>
      </c>
      <c r="F33" s="149"/>
      <c r="G33" s="37" t="e">
        <f>SUM(G31*G18)</f>
        <v>#DIV/0!</v>
      </c>
      <c r="H33" s="38"/>
      <c r="I33" s="10"/>
      <c r="J33" s="163" t="s">
        <v>58</v>
      </c>
      <c r="K33" s="149"/>
      <c r="L33" s="37" t="e">
        <f>SUM(L31*L18)</f>
        <v>#DIV/0!</v>
      </c>
      <c r="M33" s="38"/>
      <c r="N33" s="163" t="s">
        <v>58</v>
      </c>
      <c r="O33" s="149"/>
      <c r="P33" s="37" t="e">
        <f>SUM(P31*P18)</f>
        <v>#DIV/0!</v>
      </c>
      <c r="Q33" s="38"/>
      <c r="R33" s="10"/>
      <c r="S33" s="163" t="s">
        <v>58</v>
      </c>
      <c r="T33" s="149"/>
      <c r="U33" s="37" t="e">
        <f>SUM(U31*U18)</f>
        <v>#DIV/0!</v>
      </c>
      <c r="V33" s="38"/>
      <c r="W33" s="163" t="s">
        <v>58</v>
      </c>
      <c r="X33" s="149"/>
      <c r="Y33" s="37" t="e">
        <f>SUM(Y31*Y18)</f>
        <v>#DIV/0!</v>
      </c>
      <c r="Z33" s="38"/>
      <c r="AA33" s="10"/>
      <c r="AB33" s="163" t="s">
        <v>58</v>
      </c>
      <c r="AC33" s="149"/>
      <c r="AD33" s="37" t="e">
        <f>SUM(AD31*AD18)</f>
        <v>#DIV/0!</v>
      </c>
      <c r="AE33" s="38"/>
      <c r="AF33" s="163" t="s">
        <v>58</v>
      </c>
      <c r="AG33" s="149"/>
      <c r="AH33" s="37" t="e">
        <f>SUM(AH31*AH18)</f>
        <v>#DIV/0!</v>
      </c>
      <c r="AI33" s="38"/>
      <c r="AJ33" s="10"/>
      <c r="AK33" s="163" t="s">
        <v>58</v>
      </c>
      <c r="AL33" s="149"/>
      <c r="AM33" s="37" t="e">
        <f>SUM(AM31*AM18)</f>
        <v>#DIV/0!</v>
      </c>
      <c r="AN33" s="38"/>
      <c r="AO33" s="163" t="s">
        <v>58</v>
      </c>
      <c r="AP33" s="149"/>
      <c r="AQ33" s="37" t="e">
        <f>SUM(AQ31*AQ18)</f>
        <v>#DIV/0!</v>
      </c>
      <c r="AR33" s="38"/>
      <c r="AS33" s="10"/>
    </row>
    <row r="34" spans="1:53" ht="13.2" x14ac:dyDescent="0.25">
      <c r="C34" s="5"/>
      <c r="D34" s="6"/>
      <c r="G34" s="6"/>
      <c r="H34" s="6"/>
      <c r="I34" s="4"/>
      <c r="L34" s="5"/>
      <c r="M34" s="6"/>
      <c r="P34" s="6"/>
      <c r="Q34" s="6"/>
      <c r="R34" s="4"/>
      <c r="U34" s="5"/>
      <c r="V34" s="6"/>
      <c r="Y34" s="6"/>
      <c r="Z34" s="6"/>
      <c r="AA34" s="4"/>
      <c r="AD34" s="5"/>
      <c r="AE34" s="6"/>
      <c r="AH34" s="6"/>
      <c r="AI34" s="6"/>
      <c r="AJ34" s="4"/>
      <c r="AM34" s="5"/>
      <c r="AN34" s="6"/>
      <c r="AQ34" s="6"/>
      <c r="AR34" s="6"/>
      <c r="AS34" s="4"/>
    </row>
    <row r="35" spans="1:53" ht="21" customHeight="1" x14ac:dyDescent="0.25">
      <c r="A35" s="162" t="s">
        <v>59</v>
      </c>
      <c r="B35" s="149"/>
      <c r="C35" s="39"/>
      <c r="D35" s="6"/>
      <c r="E35" s="162" t="s">
        <v>59</v>
      </c>
      <c r="F35" s="149"/>
      <c r="G35" s="39"/>
      <c r="H35" s="6"/>
      <c r="I35" s="10"/>
      <c r="J35" s="162" t="s">
        <v>59</v>
      </c>
      <c r="K35" s="149"/>
      <c r="L35" s="39"/>
      <c r="M35" s="6"/>
      <c r="N35" s="162" t="s">
        <v>59</v>
      </c>
      <c r="O35" s="149"/>
      <c r="P35" s="39"/>
      <c r="Q35" s="6"/>
      <c r="R35" s="10"/>
      <c r="S35" s="162" t="s">
        <v>59</v>
      </c>
      <c r="T35" s="149"/>
      <c r="U35" s="39"/>
      <c r="V35" s="6"/>
      <c r="W35" s="162" t="s">
        <v>59</v>
      </c>
      <c r="X35" s="149"/>
      <c r="Y35" s="39"/>
      <c r="Z35" s="6"/>
      <c r="AA35" s="10"/>
      <c r="AB35" s="162" t="s">
        <v>59</v>
      </c>
      <c r="AC35" s="149"/>
      <c r="AD35" s="39"/>
      <c r="AE35" s="6"/>
      <c r="AF35" s="162" t="s">
        <v>59</v>
      </c>
      <c r="AG35" s="149"/>
      <c r="AH35" s="39"/>
      <c r="AI35" s="6"/>
      <c r="AJ35" s="10"/>
      <c r="AK35" s="162" t="s">
        <v>59</v>
      </c>
      <c r="AL35" s="149"/>
      <c r="AM35" s="39"/>
      <c r="AN35" s="6"/>
      <c r="AO35" s="162" t="s">
        <v>59</v>
      </c>
      <c r="AP35" s="149"/>
      <c r="AQ35" s="39"/>
      <c r="AR35" s="6"/>
      <c r="AS35" s="10"/>
    </row>
    <row r="36" spans="1:53" ht="13.5" customHeight="1" x14ac:dyDescent="0.25">
      <c r="C36" s="5"/>
      <c r="G36" s="6"/>
      <c r="H36" s="6"/>
      <c r="I36" s="4"/>
      <c r="L36" s="5"/>
      <c r="P36" s="6"/>
      <c r="Q36" s="6"/>
      <c r="R36" s="4"/>
      <c r="U36" s="5"/>
      <c r="Y36" s="6"/>
      <c r="Z36" s="6"/>
      <c r="AA36" s="4"/>
      <c r="AD36" s="5"/>
      <c r="AH36" s="6"/>
      <c r="AI36" s="6"/>
      <c r="AJ36" s="4"/>
      <c r="AM36" s="5"/>
      <c r="AQ36" s="6"/>
      <c r="AR36" s="6"/>
      <c r="AS36" s="4"/>
    </row>
    <row r="37" spans="1:53" ht="24.75" customHeight="1" x14ac:dyDescent="0.25">
      <c r="A37" s="163" t="s">
        <v>60</v>
      </c>
      <c r="B37" s="149"/>
      <c r="C37" s="40" t="e">
        <f>SUM((C31)-(C35/C18))*(C18)</f>
        <v>#DIV/0!</v>
      </c>
      <c r="D37" s="6"/>
      <c r="E37" s="163" t="s">
        <v>60</v>
      </c>
      <c r="F37" s="149"/>
      <c r="G37" s="40" t="e">
        <f>SUM((G31)-(G35/G18))*(G18)</f>
        <v>#DIV/0!</v>
      </c>
      <c r="H37" s="6"/>
      <c r="I37" s="10"/>
      <c r="J37" s="163" t="s">
        <v>60</v>
      </c>
      <c r="K37" s="149"/>
      <c r="L37" s="40" t="e">
        <f>SUM((L31)-(L35/L18))*(L18)</f>
        <v>#DIV/0!</v>
      </c>
      <c r="M37" s="6"/>
      <c r="N37" s="163" t="s">
        <v>60</v>
      </c>
      <c r="O37" s="149"/>
      <c r="P37" s="40" t="e">
        <f>SUM((P31)-(P35/P18))*(P18)</f>
        <v>#DIV/0!</v>
      </c>
      <c r="Q37" s="6"/>
      <c r="R37" s="10"/>
      <c r="S37" s="163" t="s">
        <v>60</v>
      </c>
      <c r="T37" s="149"/>
      <c r="U37" s="40" t="e">
        <f>SUM((U31)-(U35/U18))*(U18)</f>
        <v>#DIV/0!</v>
      </c>
      <c r="V37" s="6"/>
      <c r="W37" s="163" t="s">
        <v>60</v>
      </c>
      <c r="X37" s="149"/>
      <c r="Y37" s="40" t="e">
        <f>SUM((Y31)-(Y35/Y18))*(Y18)</f>
        <v>#DIV/0!</v>
      </c>
      <c r="Z37" s="6"/>
      <c r="AA37" s="10"/>
      <c r="AB37" s="163" t="s">
        <v>60</v>
      </c>
      <c r="AC37" s="149"/>
      <c r="AD37" s="40" t="e">
        <f>SUM((AD31)-(AD35/AD18))*(AD18)</f>
        <v>#DIV/0!</v>
      </c>
      <c r="AE37" s="6"/>
      <c r="AF37" s="163" t="s">
        <v>60</v>
      </c>
      <c r="AG37" s="149"/>
      <c r="AH37" s="40" t="e">
        <f>SUM((AH31)-(AH35/AH18))*(AH18)</f>
        <v>#DIV/0!</v>
      </c>
      <c r="AI37" s="6"/>
      <c r="AJ37" s="10"/>
      <c r="AK37" s="163" t="s">
        <v>60</v>
      </c>
      <c r="AL37" s="149"/>
      <c r="AM37" s="40" t="e">
        <f>SUM((AM31)-(AM35/AM18))*(AM18)</f>
        <v>#DIV/0!</v>
      </c>
      <c r="AN37" s="6"/>
      <c r="AO37" s="163" t="s">
        <v>60</v>
      </c>
      <c r="AP37" s="149"/>
      <c r="AQ37" s="40" t="e">
        <f>SUM((AQ31)-(AQ35/AQ18))*(AQ18)</f>
        <v>#DIV/0!</v>
      </c>
      <c r="AR37" s="6"/>
      <c r="AS37" s="10"/>
    </row>
    <row r="38" spans="1:53" ht="31.5" customHeight="1" x14ac:dyDescent="0.25">
      <c r="A38" s="186" t="s">
        <v>61</v>
      </c>
      <c r="B38" s="149"/>
      <c r="C38" s="41"/>
      <c r="D38" s="42"/>
      <c r="E38" s="186" t="s">
        <v>61</v>
      </c>
      <c r="F38" s="149"/>
      <c r="G38" s="41"/>
      <c r="H38" s="42"/>
      <c r="I38" s="43"/>
      <c r="J38" s="186" t="s">
        <v>61</v>
      </c>
      <c r="K38" s="149"/>
      <c r="L38" s="41"/>
      <c r="M38" s="42"/>
      <c r="N38" s="186" t="s">
        <v>61</v>
      </c>
      <c r="O38" s="149"/>
      <c r="P38" s="41"/>
      <c r="Q38" s="42"/>
      <c r="R38" s="43"/>
      <c r="S38" s="186" t="s">
        <v>61</v>
      </c>
      <c r="T38" s="149"/>
      <c r="U38" s="41"/>
      <c r="V38" s="42"/>
      <c r="W38" s="186" t="s">
        <v>61</v>
      </c>
      <c r="X38" s="149"/>
      <c r="Y38" s="41"/>
      <c r="Z38" s="42"/>
      <c r="AA38" s="43"/>
      <c r="AB38" s="186" t="s">
        <v>61</v>
      </c>
      <c r="AC38" s="149"/>
      <c r="AD38" s="41"/>
      <c r="AE38" s="42"/>
      <c r="AF38" s="186" t="s">
        <v>61</v>
      </c>
      <c r="AG38" s="149"/>
      <c r="AH38" s="41"/>
      <c r="AI38" s="42"/>
      <c r="AJ38" s="43"/>
      <c r="AK38" s="186" t="s">
        <v>61</v>
      </c>
      <c r="AL38" s="149"/>
      <c r="AM38" s="41"/>
      <c r="AN38" s="42"/>
      <c r="AO38" s="186" t="s">
        <v>61</v>
      </c>
      <c r="AP38" s="149"/>
      <c r="AQ38" s="41"/>
      <c r="AR38" s="42"/>
      <c r="AS38" s="43"/>
      <c r="AT38" s="42"/>
      <c r="AU38" s="42"/>
      <c r="AV38" s="42"/>
      <c r="AW38" s="42"/>
      <c r="AX38" s="42"/>
      <c r="AY38" s="42"/>
      <c r="AZ38" s="42"/>
      <c r="BA38" s="42"/>
    </row>
    <row r="39" spans="1:53" ht="13.2" x14ac:dyDescent="0.25">
      <c r="C39" s="44"/>
      <c r="D39" s="6"/>
      <c r="G39" s="45"/>
      <c r="H39" s="6"/>
      <c r="I39" s="4"/>
      <c r="L39" s="44"/>
      <c r="M39" s="6"/>
      <c r="P39" s="45"/>
      <c r="Q39" s="6"/>
      <c r="R39" s="4"/>
      <c r="U39" s="44"/>
      <c r="V39" s="6"/>
      <c r="Y39" s="45"/>
      <c r="Z39" s="6"/>
      <c r="AA39" s="4"/>
      <c r="AD39" s="44"/>
      <c r="AE39" s="6"/>
      <c r="AH39" s="45"/>
      <c r="AI39" s="6"/>
      <c r="AJ39" s="4"/>
      <c r="AM39" s="44"/>
      <c r="AN39" s="6"/>
      <c r="AQ39" s="45"/>
      <c r="AR39" s="6"/>
      <c r="AS39" s="4"/>
    </row>
    <row r="40" spans="1:53" ht="13.8" x14ac:dyDescent="0.25">
      <c r="A40" s="162" t="s">
        <v>62</v>
      </c>
      <c r="B40" s="149"/>
      <c r="C40" s="46">
        <f>SUM(C35+C38)</f>
        <v>0</v>
      </c>
      <c r="D40" s="6"/>
      <c r="E40" s="162" t="s">
        <v>62</v>
      </c>
      <c r="F40" s="149"/>
      <c r="G40" s="46">
        <f>SUM(G35+G38)</f>
        <v>0</v>
      </c>
      <c r="H40" s="6"/>
      <c r="I40" s="10"/>
      <c r="J40" s="162" t="s">
        <v>62</v>
      </c>
      <c r="K40" s="149"/>
      <c r="L40" s="46">
        <f>SUM(L35+L38)</f>
        <v>0</v>
      </c>
      <c r="M40" s="6"/>
      <c r="N40" s="162" t="s">
        <v>62</v>
      </c>
      <c r="O40" s="149"/>
      <c r="P40" s="46">
        <f>SUM(P35+P38)</f>
        <v>0</v>
      </c>
      <c r="Q40" s="6"/>
      <c r="R40" s="10"/>
      <c r="S40" s="162" t="s">
        <v>62</v>
      </c>
      <c r="T40" s="149"/>
      <c r="U40" s="46">
        <f>SUM(U35+U38)</f>
        <v>0</v>
      </c>
      <c r="V40" s="6"/>
      <c r="W40" s="162" t="s">
        <v>62</v>
      </c>
      <c r="X40" s="149"/>
      <c r="Y40" s="46">
        <f>SUM(Y35+Y38)</f>
        <v>0</v>
      </c>
      <c r="Z40" s="6"/>
      <c r="AA40" s="10"/>
      <c r="AB40" s="162" t="s">
        <v>62</v>
      </c>
      <c r="AC40" s="149"/>
      <c r="AD40" s="46">
        <f>SUM(AD35+AD38)</f>
        <v>0</v>
      </c>
      <c r="AE40" s="6"/>
      <c r="AF40" s="162" t="s">
        <v>62</v>
      </c>
      <c r="AG40" s="149"/>
      <c r="AH40" s="46">
        <f>SUM(AH35+AH38)</f>
        <v>0</v>
      </c>
      <c r="AI40" s="6"/>
      <c r="AJ40" s="10"/>
      <c r="AK40" s="162" t="s">
        <v>62</v>
      </c>
      <c r="AL40" s="149"/>
      <c r="AM40" s="46">
        <f>SUM(AM35+AM38)</f>
        <v>0</v>
      </c>
      <c r="AN40" s="6"/>
      <c r="AO40" s="162" t="s">
        <v>62</v>
      </c>
      <c r="AP40" s="149"/>
      <c r="AQ40" s="46">
        <f>SUM(AQ35+AQ38)</f>
        <v>0</v>
      </c>
      <c r="AR40" s="6"/>
      <c r="AS40" s="10"/>
    </row>
    <row r="41" spans="1:53" ht="17.25" customHeight="1" x14ac:dyDescent="0.25">
      <c r="C41" s="47"/>
      <c r="D41" s="6"/>
      <c r="G41" s="48"/>
      <c r="H41" s="6"/>
      <c r="I41" s="4"/>
      <c r="L41" s="47"/>
      <c r="M41" s="6"/>
      <c r="P41" s="48"/>
      <c r="Q41" s="6"/>
      <c r="R41" s="4"/>
      <c r="U41" s="47"/>
      <c r="V41" s="6"/>
      <c r="Y41" s="48"/>
      <c r="Z41" s="6"/>
      <c r="AA41" s="4"/>
      <c r="AD41" s="47"/>
      <c r="AE41" s="6"/>
      <c r="AH41" s="48"/>
      <c r="AI41" s="6"/>
      <c r="AJ41" s="4"/>
      <c r="AM41" s="47"/>
      <c r="AN41" s="6"/>
      <c r="AQ41" s="48"/>
      <c r="AR41" s="6"/>
      <c r="AS41" s="4"/>
    </row>
    <row r="42" spans="1:53" ht="20.25" customHeight="1" x14ac:dyDescent="0.25">
      <c r="A42" s="162" t="s">
        <v>63</v>
      </c>
      <c r="B42" s="149"/>
      <c r="C42" s="49" t="e">
        <f>SUM(C40/C18)</f>
        <v>#DIV/0!</v>
      </c>
      <c r="D42" s="187" t="e">
        <f>IF(C42&lt;=C31,"Good","Bad")</f>
        <v>#DIV/0!</v>
      </c>
      <c r="E42" s="162" t="s">
        <v>63</v>
      </c>
      <c r="F42" s="149"/>
      <c r="G42" s="49" t="e">
        <f>SUM(G40/G18)</f>
        <v>#DIV/0!</v>
      </c>
      <c r="H42" s="187" t="e">
        <f>IF(G42&lt;=G31,"Good","Bad")</f>
        <v>#DIV/0!</v>
      </c>
      <c r="I42" s="10"/>
      <c r="J42" s="162" t="s">
        <v>63</v>
      </c>
      <c r="K42" s="149"/>
      <c r="L42" s="49" t="e">
        <f>SUM(L40/L18)</f>
        <v>#DIV/0!</v>
      </c>
      <c r="M42" s="187" t="e">
        <f>IF(L42&lt;=L31,"Good","Bad")</f>
        <v>#DIV/0!</v>
      </c>
      <c r="N42" s="162" t="s">
        <v>63</v>
      </c>
      <c r="O42" s="149"/>
      <c r="P42" s="49" t="e">
        <f>SUM(P40/P18)</f>
        <v>#DIV/0!</v>
      </c>
      <c r="Q42" s="187" t="e">
        <f>IF(P42&lt;=P31,"Good","Bad")</f>
        <v>#DIV/0!</v>
      </c>
      <c r="R42" s="10"/>
      <c r="S42" s="162" t="s">
        <v>63</v>
      </c>
      <c r="T42" s="149"/>
      <c r="U42" s="49" t="e">
        <f>SUM(U40/U18)</f>
        <v>#DIV/0!</v>
      </c>
      <c r="V42" s="187" t="e">
        <f>IF(U42&lt;=U31,"Good","Bad")</f>
        <v>#DIV/0!</v>
      </c>
      <c r="W42" s="162" t="s">
        <v>63</v>
      </c>
      <c r="X42" s="149"/>
      <c r="Y42" s="49" t="e">
        <f>SUM(Y40/Y18)</f>
        <v>#DIV/0!</v>
      </c>
      <c r="Z42" s="187" t="e">
        <f>IF(Y42&lt;=Y31,"Good","Bad")</f>
        <v>#DIV/0!</v>
      </c>
      <c r="AA42" s="10"/>
      <c r="AB42" s="162" t="s">
        <v>63</v>
      </c>
      <c r="AC42" s="149"/>
      <c r="AD42" s="49" t="e">
        <f>SUM(AD40/AD18)</f>
        <v>#DIV/0!</v>
      </c>
      <c r="AE42" s="187" t="e">
        <f>IF(AD42&lt;=AD31,"Good","Bad")</f>
        <v>#DIV/0!</v>
      </c>
      <c r="AF42" s="162" t="s">
        <v>63</v>
      </c>
      <c r="AG42" s="149"/>
      <c r="AH42" s="49" t="e">
        <f>SUM(AH40/AH18)</f>
        <v>#DIV/0!</v>
      </c>
      <c r="AI42" s="187" t="e">
        <f>IF(AH42&lt;=AH31,"Good","Bad")</f>
        <v>#DIV/0!</v>
      </c>
      <c r="AJ42" s="10"/>
      <c r="AK42" s="162" t="s">
        <v>63</v>
      </c>
      <c r="AL42" s="149"/>
      <c r="AM42" s="49" t="e">
        <f>SUM(AM40/AM18)</f>
        <v>#DIV/0!</v>
      </c>
      <c r="AN42" s="187" t="e">
        <f>IF(AM42&lt;=AM31,"Good","Bad")</f>
        <v>#DIV/0!</v>
      </c>
      <c r="AO42" s="162" t="s">
        <v>63</v>
      </c>
      <c r="AP42" s="149"/>
      <c r="AQ42" s="49" t="e">
        <f>SUM(AQ40/AQ18)</f>
        <v>#DIV/0!</v>
      </c>
      <c r="AR42" s="187" t="e">
        <f>IF(AQ42&lt;=AQ31,"Good","Bad")</f>
        <v>#DIV/0!</v>
      </c>
      <c r="AS42" s="10"/>
    </row>
    <row r="43" spans="1:53" ht="20.25" customHeight="1" x14ac:dyDescent="0.25">
      <c r="C43" s="47"/>
      <c r="D43" s="158"/>
      <c r="G43" s="48"/>
      <c r="H43" s="158"/>
      <c r="I43" s="4"/>
      <c r="L43" s="47"/>
      <c r="M43" s="158"/>
      <c r="P43" s="48"/>
      <c r="Q43" s="158"/>
      <c r="R43" s="4"/>
      <c r="U43" s="47"/>
      <c r="V43" s="158"/>
      <c r="Y43" s="48"/>
      <c r="Z43" s="158"/>
      <c r="AA43" s="4"/>
      <c r="AD43" s="47"/>
      <c r="AE43" s="158"/>
      <c r="AH43" s="48"/>
      <c r="AI43" s="158"/>
      <c r="AJ43" s="4"/>
      <c r="AM43" s="47"/>
      <c r="AN43" s="158"/>
      <c r="AQ43" s="48"/>
      <c r="AR43" s="158"/>
      <c r="AS43" s="4"/>
    </row>
    <row r="44" spans="1:53" ht="20.25" customHeight="1" x14ac:dyDescent="0.25">
      <c r="A44" s="163" t="s">
        <v>64</v>
      </c>
      <c r="B44" s="149"/>
      <c r="C44" s="50" t="e">
        <f>C42*C24</f>
        <v>#DIV/0!</v>
      </c>
      <c r="D44" s="51"/>
      <c r="E44" s="163" t="s">
        <v>64</v>
      </c>
      <c r="F44" s="149"/>
      <c r="G44" s="50" t="e">
        <f>G42*G24</f>
        <v>#DIV/0!</v>
      </c>
      <c r="H44" s="51"/>
      <c r="I44" s="10"/>
      <c r="J44" s="163" t="s">
        <v>64</v>
      </c>
      <c r="K44" s="149"/>
      <c r="L44" s="50" t="e">
        <f>L42*L24</f>
        <v>#DIV/0!</v>
      </c>
      <c r="M44" s="51"/>
      <c r="N44" s="163" t="s">
        <v>64</v>
      </c>
      <c r="O44" s="149"/>
      <c r="P44" s="50" t="e">
        <f>P42*P24</f>
        <v>#DIV/0!</v>
      </c>
      <c r="Q44" s="51"/>
      <c r="R44" s="10"/>
      <c r="S44" s="163" t="s">
        <v>64</v>
      </c>
      <c r="T44" s="149"/>
      <c r="U44" s="50" t="e">
        <f>U42*U24</f>
        <v>#DIV/0!</v>
      </c>
      <c r="V44" s="51"/>
      <c r="W44" s="163" t="s">
        <v>64</v>
      </c>
      <c r="X44" s="149"/>
      <c r="Y44" s="50" t="e">
        <f>Y42*Y24</f>
        <v>#DIV/0!</v>
      </c>
      <c r="Z44" s="51"/>
      <c r="AA44" s="10"/>
      <c r="AB44" s="163" t="s">
        <v>64</v>
      </c>
      <c r="AC44" s="149"/>
      <c r="AD44" s="50" t="e">
        <f>AD42*AD24</f>
        <v>#DIV/0!</v>
      </c>
      <c r="AE44" s="51"/>
      <c r="AF44" s="163" t="s">
        <v>64</v>
      </c>
      <c r="AG44" s="149"/>
      <c r="AH44" s="50" t="e">
        <f>AH42*AH24</f>
        <v>#DIV/0!</v>
      </c>
      <c r="AI44" s="51"/>
      <c r="AJ44" s="10"/>
      <c r="AK44" s="163" t="s">
        <v>64</v>
      </c>
      <c r="AL44" s="149"/>
      <c r="AM44" s="50" t="e">
        <f>AM42*AM24</f>
        <v>#DIV/0!</v>
      </c>
      <c r="AN44" s="51"/>
      <c r="AO44" s="163" t="s">
        <v>64</v>
      </c>
      <c r="AP44" s="149"/>
      <c r="AQ44" s="50" t="e">
        <f>AQ42*AQ24</f>
        <v>#DIV/0!</v>
      </c>
      <c r="AR44" s="51"/>
      <c r="AS44" s="10"/>
    </row>
    <row r="45" spans="1:53" ht="13.8" x14ac:dyDescent="0.25">
      <c r="A45" s="163" t="s">
        <v>65</v>
      </c>
      <c r="B45" s="149"/>
      <c r="C45" s="52" t="e">
        <f>C42*C22</f>
        <v>#DIV/0!</v>
      </c>
      <c r="D45" s="51"/>
      <c r="E45" s="163" t="s">
        <v>65</v>
      </c>
      <c r="F45" s="149"/>
      <c r="G45" s="52" t="e">
        <f>G42*G22</f>
        <v>#DIV/0!</v>
      </c>
      <c r="H45" s="51"/>
      <c r="I45" s="10"/>
      <c r="J45" s="163" t="s">
        <v>65</v>
      </c>
      <c r="K45" s="149"/>
      <c r="L45" s="52" t="e">
        <f>L42*L22</f>
        <v>#DIV/0!</v>
      </c>
      <c r="M45" s="51"/>
      <c r="N45" s="163" t="s">
        <v>65</v>
      </c>
      <c r="O45" s="149"/>
      <c r="P45" s="52" t="e">
        <f>P42*P22</f>
        <v>#DIV/0!</v>
      </c>
      <c r="Q45" s="51"/>
      <c r="R45" s="10"/>
      <c r="S45" s="163" t="s">
        <v>65</v>
      </c>
      <c r="T45" s="149"/>
      <c r="U45" s="52" t="e">
        <f>U42*U22</f>
        <v>#DIV/0!</v>
      </c>
      <c r="V45" s="51"/>
      <c r="W45" s="163" t="s">
        <v>65</v>
      </c>
      <c r="X45" s="149"/>
      <c r="Y45" s="52" t="e">
        <f>Y42*Y22</f>
        <v>#DIV/0!</v>
      </c>
      <c r="Z45" s="51"/>
      <c r="AA45" s="10"/>
      <c r="AB45" s="163" t="s">
        <v>65</v>
      </c>
      <c r="AC45" s="149"/>
      <c r="AD45" s="52" t="e">
        <f>AD42*AD22</f>
        <v>#DIV/0!</v>
      </c>
      <c r="AE45" s="51"/>
      <c r="AF45" s="163" t="s">
        <v>65</v>
      </c>
      <c r="AG45" s="149"/>
      <c r="AH45" s="52" t="e">
        <f>AH42*AH22</f>
        <v>#DIV/0!</v>
      </c>
      <c r="AI45" s="51"/>
      <c r="AJ45" s="10"/>
      <c r="AK45" s="163" t="s">
        <v>65</v>
      </c>
      <c r="AL45" s="149"/>
      <c r="AM45" s="52" t="e">
        <f>AM42*AM22</f>
        <v>#DIV/0!</v>
      </c>
      <c r="AN45" s="51"/>
      <c r="AO45" s="163" t="s">
        <v>65</v>
      </c>
      <c r="AP45" s="149"/>
      <c r="AQ45" s="52" t="e">
        <f>AQ42*AQ22</f>
        <v>#DIV/0!</v>
      </c>
      <c r="AR45" s="51"/>
      <c r="AS45" s="10"/>
    </row>
    <row r="46" spans="1:53" ht="13.8" x14ac:dyDescent="0.25">
      <c r="A46" s="163" t="s">
        <v>66</v>
      </c>
      <c r="B46" s="149"/>
      <c r="C46" s="53" t="e">
        <f>C42*C23</f>
        <v>#DIV/0!</v>
      </c>
      <c r="D46" s="51"/>
      <c r="E46" s="163" t="s">
        <v>66</v>
      </c>
      <c r="F46" s="149"/>
      <c r="G46" s="53" t="e">
        <f>G42*G23</f>
        <v>#DIV/0!</v>
      </c>
      <c r="H46" s="51"/>
      <c r="I46" s="10"/>
      <c r="J46" s="163" t="s">
        <v>66</v>
      </c>
      <c r="K46" s="149"/>
      <c r="L46" s="53" t="e">
        <f>L42*L23</f>
        <v>#DIV/0!</v>
      </c>
      <c r="M46" s="51"/>
      <c r="N46" s="163" t="s">
        <v>66</v>
      </c>
      <c r="O46" s="149"/>
      <c r="P46" s="53" t="e">
        <f>P42*P23</f>
        <v>#DIV/0!</v>
      </c>
      <c r="Q46" s="51"/>
      <c r="R46" s="10"/>
      <c r="S46" s="163" t="s">
        <v>66</v>
      </c>
      <c r="T46" s="149"/>
      <c r="U46" s="53" t="e">
        <f>U42*U23</f>
        <v>#DIV/0!</v>
      </c>
      <c r="V46" s="51"/>
      <c r="W46" s="163" t="s">
        <v>66</v>
      </c>
      <c r="X46" s="149"/>
      <c r="Y46" s="53" t="e">
        <f>Y42*Y23</f>
        <v>#DIV/0!</v>
      </c>
      <c r="Z46" s="51"/>
      <c r="AA46" s="10"/>
      <c r="AB46" s="163" t="s">
        <v>66</v>
      </c>
      <c r="AC46" s="149"/>
      <c r="AD46" s="53" t="e">
        <f>AD42*AD23</f>
        <v>#DIV/0!</v>
      </c>
      <c r="AE46" s="51"/>
      <c r="AF46" s="163" t="s">
        <v>66</v>
      </c>
      <c r="AG46" s="149"/>
      <c r="AH46" s="53" t="e">
        <f>AH42*AH23</f>
        <v>#DIV/0!</v>
      </c>
      <c r="AI46" s="51"/>
      <c r="AJ46" s="10"/>
      <c r="AK46" s="163" t="s">
        <v>66</v>
      </c>
      <c r="AL46" s="149"/>
      <c r="AM46" s="53" t="e">
        <f>AM42*AM23</f>
        <v>#DIV/0!</v>
      </c>
      <c r="AN46" s="51"/>
      <c r="AO46" s="163" t="s">
        <v>66</v>
      </c>
      <c r="AP46" s="149"/>
      <c r="AQ46" s="53" t="e">
        <f>AQ42*AQ23</f>
        <v>#DIV/0!</v>
      </c>
      <c r="AR46" s="51"/>
      <c r="AS46" s="10"/>
    </row>
    <row r="47" spans="1:53" ht="13.8" x14ac:dyDescent="0.25">
      <c r="A47" s="188" t="s">
        <v>67</v>
      </c>
      <c r="B47" s="149"/>
      <c r="C47" s="54" t="e">
        <f>C45/C35</f>
        <v>#DIV/0!</v>
      </c>
      <c r="D47" s="51"/>
      <c r="E47" s="188" t="s">
        <v>67</v>
      </c>
      <c r="F47" s="149"/>
      <c r="G47" s="54" t="e">
        <f>G45/G35</f>
        <v>#DIV/0!</v>
      </c>
      <c r="H47" s="51"/>
      <c r="I47" s="10"/>
      <c r="J47" s="188" t="s">
        <v>67</v>
      </c>
      <c r="K47" s="149"/>
      <c r="L47" s="54" t="e">
        <f>L45/L35</f>
        <v>#DIV/0!</v>
      </c>
      <c r="M47" s="51"/>
      <c r="N47" s="188" t="s">
        <v>67</v>
      </c>
      <c r="O47" s="149"/>
      <c r="P47" s="54" t="e">
        <f>P45/P35</f>
        <v>#DIV/0!</v>
      </c>
      <c r="Q47" s="51"/>
      <c r="R47" s="10"/>
      <c r="S47" s="188" t="s">
        <v>67</v>
      </c>
      <c r="T47" s="149"/>
      <c r="U47" s="54" t="e">
        <f>U45/U35</f>
        <v>#DIV/0!</v>
      </c>
      <c r="V47" s="51"/>
      <c r="W47" s="188" t="s">
        <v>67</v>
      </c>
      <c r="X47" s="149"/>
      <c r="Y47" s="54" t="e">
        <f>Y45/Y35</f>
        <v>#DIV/0!</v>
      </c>
      <c r="Z47" s="51"/>
      <c r="AA47" s="10"/>
      <c r="AB47" s="188" t="s">
        <v>67</v>
      </c>
      <c r="AC47" s="149"/>
      <c r="AD47" s="54" t="e">
        <f>AD45/AD35</f>
        <v>#DIV/0!</v>
      </c>
      <c r="AE47" s="51"/>
      <c r="AF47" s="188" t="s">
        <v>67</v>
      </c>
      <c r="AG47" s="149"/>
      <c r="AH47" s="54" t="e">
        <f>AH45/AH35</f>
        <v>#DIV/0!</v>
      </c>
      <c r="AI47" s="51"/>
      <c r="AJ47" s="10"/>
      <c r="AK47" s="188" t="s">
        <v>67</v>
      </c>
      <c r="AL47" s="149"/>
      <c r="AM47" s="54" t="e">
        <f>AM45/AM35</f>
        <v>#DIV/0!</v>
      </c>
      <c r="AN47" s="51"/>
      <c r="AO47" s="188" t="s">
        <v>67</v>
      </c>
      <c r="AP47" s="149"/>
      <c r="AQ47" s="54" t="e">
        <f>AQ45/AQ35</f>
        <v>#DIV/0!</v>
      </c>
      <c r="AR47" s="51"/>
      <c r="AS47" s="10"/>
    </row>
    <row r="48" spans="1:53" ht="13.8" x14ac:dyDescent="0.25">
      <c r="A48" s="188" t="s">
        <v>68</v>
      </c>
      <c r="B48" s="149"/>
      <c r="C48" s="54" t="e">
        <f>C46/C35</f>
        <v>#DIV/0!</v>
      </c>
      <c r="D48" s="51"/>
      <c r="E48" s="188" t="s">
        <v>68</v>
      </c>
      <c r="F48" s="149"/>
      <c r="G48" s="54" t="e">
        <f>G46/G35</f>
        <v>#DIV/0!</v>
      </c>
      <c r="H48" s="51"/>
      <c r="I48" s="10"/>
      <c r="J48" s="188" t="s">
        <v>68</v>
      </c>
      <c r="K48" s="149"/>
      <c r="L48" s="54" t="e">
        <f>L46/L35</f>
        <v>#DIV/0!</v>
      </c>
      <c r="M48" s="51"/>
      <c r="N48" s="188" t="s">
        <v>68</v>
      </c>
      <c r="O48" s="149"/>
      <c r="P48" s="54" t="e">
        <f>P46/P35</f>
        <v>#DIV/0!</v>
      </c>
      <c r="Q48" s="51"/>
      <c r="R48" s="10"/>
      <c r="S48" s="188" t="s">
        <v>68</v>
      </c>
      <c r="T48" s="149"/>
      <c r="U48" s="54" t="e">
        <f>U46/U35</f>
        <v>#DIV/0!</v>
      </c>
      <c r="V48" s="51"/>
      <c r="W48" s="188" t="s">
        <v>68</v>
      </c>
      <c r="X48" s="149"/>
      <c r="Y48" s="54" t="e">
        <f>Y46/Y35</f>
        <v>#DIV/0!</v>
      </c>
      <c r="Z48" s="51"/>
      <c r="AA48" s="10"/>
      <c r="AB48" s="188" t="s">
        <v>68</v>
      </c>
      <c r="AC48" s="149"/>
      <c r="AD48" s="54" t="e">
        <f>AD46/AD35</f>
        <v>#DIV/0!</v>
      </c>
      <c r="AE48" s="51"/>
      <c r="AF48" s="188" t="s">
        <v>68</v>
      </c>
      <c r="AG48" s="149"/>
      <c r="AH48" s="54" t="e">
        <f>AH46/AH35</f>
        <v>#DIV/0!</v>
      </c>
      <c r="AI48" s="51"/>
      <c r="AJ48" s="10"/>
      <c r="AK48" s="188" t="s">
        <v>68</v>
      </c>
      <c r="AL48" s="149"/>
      <c r="AM48" s="54" t="e">
        <f>AM46/AM35</f>
        <v>#DIV/0!</v>
      </c>
      <c r="AN48" s="51"/>
      <c r="AO48" s="188" t="s">
        <v>68</v>
      </c>
      <c r="AP48" s="149"/>
      <c r="AQ48" s="54" t="e">
        <f>AQ46/AQ35</f>
        <v>#DIV/0!</v>
      </c>
      <c r="AR48" s="51"/>
      <c r="AS48" s="10"/>
    </row>
    <row r="49" spans="1:45" ht="13.8" x14ac:dyDescent="0.25">
      <c r="A49" s="55"/>
      <c r="B49" s="55"/>
      <c r="C49" s="56"/>
      <c r="D49" s="55"/>
      <c r="E49" s="55"/>
      <c r="F49" s="55"/>
      <c r="G49" s="51"/>
      <c r="H49" s="55"/>
      <c r="I49" s="4"/>
      <c r="J49" s="55"/>
      <c r="K49" s="55"/>
      <c r="L49" s="56"/>
      <c r="M49" s="55"/>
      <c r="N49" s="55"/>
      <c r="O49" s="55"/>
      <c r="P49" s="51"/>
      <c r="Q49" s="55"/>
      <c r="R49" s="4"/>
      <c r="S49" s="55"/>
      <c r="T49" s="55"/>
      <c r="U49" s="56"/>
      <c r="V49" s="55"/>
      <c r="W49" s="55"/>
      <c r="X49" s="55"/>
      <c r="Y49" s="51"/>
      <c r="Z49" s="55"/>
      <c r="AA49" s="4"/>
      <c r="AB49" s="55"/>
      <c r="AC49" s="55"/>
      <c r="AD49" s="56"/>
      <c r="AE49" s="55"/>
      <c r="AF49" s="55"/>
      <c r="AG49" s="55"/>
      <c r="AH49" s="51"/>
      <c r="AI49" s="55"/>
      <c r="AJ49" s="4"/>
      <c r="AK49" s="55"/>
      <c r="AL49" s="55"/>
      <c r="AM49" s="56"/>
      <c r="AN49" s="55"/>
      <c r="AO49" s="55"/>
      <c r="AP49" s="55"/>
      <c r="AQ49" s="51"/>
      <c r="AR49" s="55"/>
      <c r="AS49" s="4"/>
    </row>
    <row r="50" spans="1:45" ht="13.8" x14ac:dyDescent="0.25">
      <c r="A50" s="55"/>
      <c r="B50" s="55"/>
      <c r="C50" s="56"/>
      <c r="D50" s="55"/>
      <c r="E50" s="55"/>
      <c r="F50" s="55"/>
      <c r="G50" s="51"/>
      <c r="H50" s="55"/>
      <c r="I50" s="4"/>
      <c r="J50" s="55"/>
      <c r="K50" s="55"/>
      <c r="L50" s="56"/>
      <c r="M50" s="55"/>
      <c r="N50" s="55"/>
      <c r="O50" s="55"/>
      <c r="P50" s="51"/>
      <c r="Q50" s="55"/>
      <c r="R50" s="4"/>
      <c r="S50" s="55"/>
      <c r="T50" s="55"/>
      <c r="U50" s="56"/>
      <c r="V50" s="55"/>
      <c r="W50" s="55"/>
      <c r="X50" s="55"/>
      <c r="Y50" s="51"/>
      <c r="Z50" s="55"/>
      <c r="AA50" s="4"/>
      <c r="AB50" s="55"/>
      <c r="AC50" s="55"/>
      <c r="AD50" s="56"/>
      <c r="AE50" s="55"/>
      <c r="AF50" s="55"/>
      <c r="AG50" s="55"/>
      <c r="AH50" s="51"/>
      <c r="AI50" s="55"/>
      <c r="AJ50" s="4"/>
      <c r="AK50" s="55"/>
      <c r="AL50" s="55"/>
      <c r="AM50" s="56"/>
      <c r="AN50" s="55"/>
      <c r="AO50" s="55"/>
      <c r="AP50" s="55"/>
      <c r="AQ50" s="51"/>
      <c r="AR50" s="55"/>
      <c r="AS50" s="4"/>
    </row>
    <row r="51" spans="1:45" ht="13.8" x14ac:dyDescent="0.25">
      <c r="A51" s="55"/>
      <c r="B51" s="55"/>
      <c r="C51" s="56"/>
      <c r="D51" s="55"/>
      <c r="E51" s="55"/>
      <c r="F51" s="55"/>
      <c r="G51" s="51"/>
      <c r="H51" s="55"/>
      <c r="I51" s="4"/>
      <c r="J51" s="55"/>
      <c r="K51" s="55"/>
      <c r="L51" s="56"/>
      <c r="M51" s="55"/>
      <c r="N51" s="55"/>
      <c r="O51" s="55"/>
      <c r="P51" s="51"/>
      <c r="Q51" s="55"/>
      <c r="R51" s="4"/>
      <c r="S51" s="55"/>
      <c r="T51" s="55"/>
      <c r="U51" s="56"/>
      <c r="V51" s="55"/>
      <c r="W51" s="55"/>
      <c r="X51" s="55"/>
      <c r="Y51" s="51"/>
      <c r="Z51" s="55"/>
      <c r="AA51" s="4"/>
      <c r="AB51" s="55"/>
      <c r="AC51" s="55"/>
      <c r="AD51" s="56"/>
      <c r="AE51" s="55"/>
      <c r="AF51" s="55"/>
      <c r="AG51" s="55"/>
      <c r="AH51" s="51"/>
      <c r="AI51" s="55"/>
      <c r="AJ51" s="4"/>
      <c r="AK51" s="55"/>
      <c r="AL51" s="55"/>
      <c r="AM51" s="56"/>
      <c r="AN51" s="55"/>
      <c r="AO51" s="55"/>
      <c r="AP51" s="55"/>
      <c r="AQ51" s="51"/>
      <c r="AR51" s="55"/>
      <c r="AS51" s="4"/>
    </row>
    <row r="52" spans="1:45" ht="13.8" x14ac:dyDescent="0.25">
      <c r="A52" s="55"/>
      <c r="B52" s="55"/>
      <c r="C52" s="56"/>
      <c r="D52" s="55"/>
      <c r="E52" s="55"/>
      <c r="F52" s="55"/>
      <c r="G52" s="51"/>
      <c r="H52" s="55"/>
      <c r="I52" s="4"/>
      <c r="J52" s="55"/>
      <c r="K52" s="55"/>
      <c r="L52" s="56"/>
      <c r="M52" s="55"/>
      <c r="N52" s="55"/>
      <c r="O52" s="55"/>
      <c r="P52" s="51"/>
      <c r="Q52" s="55"/>
      <c r="R52" s="4"/>
      <c r="S52" s="55"/>
      <c r="T52" s="55"/>
      <c r="U52" s="56"/>
      <c r="V52" s="55"/>
      <c r="W52" s="55"/>
      <c r="X52" s="55"/>
      <c r="Y52" s="51"/>
      <c r="Z52" s="55"/>
      <c r="AA52" s="4"/>
      <c r="AB52" s="55"/>
      <c r="AC52" s="55"/>
      <c r="AD52" s="56"/>
      <c r="AE52" s="55"/>
      <c r="AF52" s="55"/>
      <c r="AG52" s="55"/>
      <c r="AH52" s="51"/>
      <c r="AI52" s="55"/>
      <c r="AJ52" s="4"/>
      <c r="AK52" s="55"/>
      <c r="AL52" s="55"/>
      <c r="AM52" s="56"/>
      <c r="AN52" s="55"/>
      <c r="AO52" s="55"/>
      <c r="AP52" s="55"/>
      <c r="AQ52" s="51"/>
      <c r="AR52" s="55"/>
      <c r="AS52" s="4"/>
    </row>
    <row r="53" spans="1:45" ht="13.2" x14ac:dyDescent="0.25">
      <c r="A53" s="4"/>
      <c r="B53" s="4"/>
      <c r="C53" s="57"/>
      <c r="D53" s="35"/>
      <c r="E53" s="4"/>
      <c r="F53" s="4"/>
      <c r="G53" s="35"/>
      <c r="H53" s="35"/>
      <c r="I53" s="4"/>
      <c r="J53" s="4"/>
      <c r="K53" s="4"/>
      <c r="L53" s="57"/>
      <c r="M53" s="35"/>
      <c r="N53" s="4"/>
      <c r="O53" s="4"/>
      <c r="P53" s="35"/>
      <c r="Q53" s="35"/>
      <c r="R53" s="4"/>
      <c r="S53" s="4"/>
      <c r="T53" s="4"/>
      <c r="U53" s="57"/>
      <c r="V53" s="35"/>
      <c r="W53" s="4"/>
      <c r="X53" s="4"/>
      <c r="Y53" s="35"/>
      <c r="Z53" s="35"/>
      <c r="AA53" s="4"/>
      <c r="AB53" s="4"/>
      <c r="AC53" s="4"/>
      <c r="AD53" s="57"/>
      <c r="AE53" s="35"/>
      <c r="AF53" s="4"/>
      <c r="AG53" s="4"/>
      <c r="AH53" s="35"/>
      <c r="AI53" s="35"/>
      <c r="AJ53" s="4"/>
      <c r="AK53" s="4"/>
      <c r="AL53" s="4"/>
      <c r="AM53" s="57"/>
      <c r="AN53" s="35"/>
      <c r="AO53" s="4"/>
      <c r="AP53" s="4"/>
      <c r="AQ53" s="35"/>
      <c r="AR53" s="35"/>
      <c r="AS53" s="4"/>
    </row>
    <row r="54" spans="1:45" ht="13.8" x14ac:dyDescent="0.25">
      <c r="C54" s="5"/>
      <c r="D54" s="6"/>
      <c r="E54" s="51"/>
      <c r="F54" s="51"/>
      <c r="G54" s="51"/>
      <c r="H54" s="51"/>
      <c r="L54" s="5"/>
      <c r="M54" s="6"/>
      <c r="N54" s="51"/>
      <c r="O54" s="51"/>
      <c r="P54" s="51"/>
      <c r="Q54" s="51"/>
      <c r="U54" s="5"/>
      <c r="V54" s="6"/>
      <c r="W54" s="51"/>
      <c r="X54" s="51"/>
      <c r="Y54" s="51"/>
      <c r="Z54" s="51"/>
      <c r="AD54" s="5"/>
      <c r="AE54" s="6"/>
      <c r="AF54" s="51"/>
      <c r="AG54" s="51"/>
      <c r="AH54" s="51"/>
      <c r="AI54" s="51"/>
      <c r="AM54" s="5"/>
      <c r="AN54" s="6"/>
      <c r="AO54" s="51"/>
      <c r="AP54" s="51"/>
      <c r="AQ54" s="51"/>
      <c r="AR54" s="51"/>
    </row>
    <row r="55" spans="1:45" ht="13.8" x14ac:dyDescent="0.25">
      <c r="C55" s="5"/>
      <c r="D55" s="6"/>
      <c r="E55" s="51"/>
      <c r="F55" s="51"/>
      <c r="G55" s="51"/>
      <c r="H55" s="51"/>
      <c r="L55" s="5"/>
      <c r="M55" s="6"/>
      <c r="N55" s="51"/>
      <c r="O55" s="51"/>
      <c r="P55" s="51"/>
      <c r="Q55" s="51"/>
      <c r="U55" s="5"/>
      <c r="V55" s="6"/>
      <c r="W55" s="51"/>
      <c r="X55" s="51"/>
      <c r="Y55" s="51"/>
      <c r="Z55" s="51"/>
      <c r="AD55" s="5"/>
      <c r="AE55" s="6"/>
      <c r="AF55" s="51"/>
      <c r="AG55" s="51"/>
      <c r="AH55" s="51"/>
      <c r="AI55" s="51"/>
      <c r="AM55" s="5"/>
      <c r="AN55" s="6"/>
      <c r="AO55" s="51"/>
      <c r="AP55" s="51"/>
      <c r="AQ55" s="51"/>
      <c r="AR55" s="51"/>
    </row>
    <row r="56" spans="1:45" ht="13.2" x14ac:dyDescent="0.25">
      <c r="C56" s="5"/>
      <c r="D56" s="6"/>
      <c r="G56" s="6"/>
      <c r="H56" s="6"/>
      <c r="L56" s="5"/>
      <c r="M56" s="6"/>
      <c r="P56" s="6"/>
      <c r="Q56" s="6"/>
      <c r="U56" s="5"/>
      <c r="V56" s="6"/>
      <c r="Y56" s="6"/>
      <c r="Z56" s="6"/>
      <c r="AD56" s="5"/>
      <c r="AE56" s="6"/>
      <c r="AH56" s="6"/>
      <c r="AI56" s="6"/>
      <c r="AM56" s="5"/>
      <c r="AN56" s="6"/>
      <c r="AQ56" s="6"/>
      <c r="AR56" s="6"/>
    </row>
    <row r="57" spans="1:45" ht="13.2" x14ac:dyDescent="0.25">
      <c r="C57" s="5"/>
      <c r="D57" s="6"/>
      <c r="G57" s="6"/>
      <c r="H57" s="6"/>
      <c r="L57" s="5"/>
      <c r="M57" s="6"/>
      <c r="P57" s="6"/>
      <c r="Q57" s="6"/>
      <c r="U57" s="5"/>
      <c r="V57" s="6"/>
      <c r="Y57" s="6"/>
      <c r="Z57" s="6"/>
      <c r="AD57" s="5"/>
      <c r="AE57" s="6"/>
      <c r="AH57" s="6"/>
      <c r="AI57" s="6"/>
      <c r="AM57" s="5"/>
      <c r="AN57" s="6"/>
      <c r="AQ57" s="6"/>
      <c r="AR57" s="6"/>
    </row>
    <row r="58" spans="1:45" ht="13.2" x14ac:dyDescent="0.25">
      <c r="C58" s="5"/>
      <c r="D58" s="6"/>
      <c r="G58" s="6"/>
      <c r="H58" s="6"/>
      <c r="L58" s="5"/>
      <c r="M58" s="6"/>
      <c r="P58" s="6"/>
      <c r="Q58" s="6"/>
      <c r="U58" s="5"/>
      <c r="V58" s="6"/>
      <c r="Y58" s="6"/>
      <c r="Z58" s="6"/>
      <c r="AD58" s="5"/>
      <c r="AE58" s="6"/>
      <c r="AH58" s="6"/>
      <c r="AI58" s="6"/>
      <c r="AM58" s="5"/>
      <c r="AN58" s="6"/>
      <c r="AQ58" s="6"/>
      <c r="AR58" s="6"/>
    </row>
    <row r="59" spans="1:45" ht="13.2" x14ac:dyDescent="0.25">
      <c r="C59" s="5"/>
      <c r="D59" s="6"/>
      <c r="G59" s="6"/>
      <c r="H59" s="6"/>
      <c r="L59" s="5"/>
      <c r="M59" s="6"/>
      <c r="P59" s="6"/>
      <c r="Q59" s="6"/>
      <c r="U59" s="5"/>
      <c r="V59" s="6"/>
      <c r="Y59" s="6"/>
      <c r="Z59" s="6"/>
      <c r="AD59" s="5"/>
      <c r="AE59" s="6"/>
      <c r="AH59" s="6"/>
      <c r="AI59" s="6"/>
      <c r="AM59" s="5"/>
      <c r="AN59" s="6"/>
      <c r="AQ59" s="6"/>
      <c r="AR59" s="6"/>
    </row>
    <row r="60" spans="1:45" ht="13.5" customHeight="1" x14ac:dyDescent="0.25">
      <c r="A60" s="58"/>
      <c r="B60" s="59"/>
      <c r="C60" s="60"/>
      <c r="D60" s="60"/>
      <c r="E60" s="59"/>
      <c r="F60" s="59"/>
      <c r="G60" s="60"/>
      <c r="H60" s="60"/>
      <c r="I60" s="61"/>
      <c r="J60" s="58"/>
      <c r="K60" s="59"/>
      <c r="L60" s="60"/>
      <c r="M60" s="60"/>
      <c r="N60" s="59"/>
      <c r="O60" s="59"/>
      <c r="P60" s="60"/>
      <c r="Q60" s="60"/>
      <c r="R60" s="61"/>
      <c r="S60" s="58"/>
      <c r="T60" s="59"/>
      <c r="U60" s="60"/>
      <c r="V60" s="60"/>
      <c r="W60" s="59"/>
      <c r="X60" s="59"/>
      <c r="Y60" s="60"/>
      <c r="Z60" s="60"/>
      <c r="AA60" s="61"/>
      <c r="AB60" s="58"/>
      <c r="AC60" s="59"/>
      <c r="AD60" s="60"/>
      <c r="AE60" s="60"/>
      <c r="AF60" s="59"/>
      <c r="AG60" s="59"/>
      <c r="AH60" s="60"/>
      <c r="AI60" s="60"/>
      <c r="AJ60" s="61"/>
      <c r="AK60" s="58"/>
      <c r="AL60" s="59"/>
      <c r="AM60" s="60"/>
      <c r="AN60" s="60"/>
      <c r="AO60" s="59"/>
      <c r="AP60" s="59"/>
      <c r="AQ60" s="60"/>
      <c r="AR60" s="60"/>
      <c r="AS60" s="61"/>
    </row>
    <row r="61" spans="1:45" ht="13.2" x14ac:dyDescent="0.25">
      <c r="A61" s="62"/>
      <c r="B61" s="62"/>
      <c r="C61" s="63"/>
      <c r="D61" s="63"/>
      <c r="E61" s="64"/>
      <c r="F61" s="62"/>
      <c r="G61" s="65"/>
      <c r="H61" s="66"/>
      <c r="I61" s="67"/>
      <c r="J61" s="62"/>
      <c r="K61" s="62"/>
      <c r="L61" s="63"/>
      <c r="M61" s="63"/>
      <c r="N61" s="64"/>
      <c r="O61" s="62"/>
      <c r="P61" s="65"/>
      <c r="Q61" s="66"/>
      <c r="R61" s="67"/>
      <c r="S61" s="62"/>
      <c r="T61" s="62"/>
      <c r="U61" s="63"/>
      <c r="V61" s="63"/>
      <c r="W61" s="64"/>
      <c r="X61" s="62"/>
      <c r="Y61" s="65"/>
      <c r="Z61" s="66"/>
      <c r="AA61" s="67"/>
      <c r="AB61" s="62"/>
      <c r="AC61" s="62"/>
      <c r="AD61" s="63"/>
      <c r="AE61" s="63"/>
      <c r="AF61" s="64"/>
      <c r="AG61" s="62"/>
      <c r="AH61" s="65"/>
      <c r="AI61" s="66"/>
      <c r="AJ61" s="67"/>
      <c r="AK61" s="62"/>
      <c r="AL61" s="62"/>
      <c r="AM61" s="63"/>
      <c r="AN61" s="63"/>
      <c r="AO61" s="64"/>
      <c r="AP61" s="62"/>
      <c r="AQ61" s="65"/>
      <c r="AR61" s="66"/>
      <c r="AS61" s="67"/>
    </row>
    <row r="62" spans="1:45" ht="13.8" x14ac:dyDescent="0.3">
      <c r="A62" s="62"/>
      <c r="B62" s="68"/>
      <c r="C62" s="189" t="s">
        <v>69</v>
      </c>
      <c r="D62" s="190"/>
      <c r="E62" s="167"/>
      <c r="F62" s="62"/>
      <c r="G62" s="65"/>
      <c r="H62" s="66"/>
      <c r="I62" s="67"/>
      <c r="J62" s="62"/>
      <c r="K62" s="68"/>
      <c r="L62" s="189" t="s">
        <v>70</v>
      </c>
      <c r="M62" s="190"/>
      <c r="N62" s="167"/>
      <c r="O62" s="62"/>
      <c r="P62" s="65"/>
      <c r="Q62" s="66"/>
      <c r="R62" s="67"/>
      <c r="S62" s="62"/>
      <c r="T62" s="68"/>
      <c r="U62" s="189" t="s">
        <v>71</v>
      </c>
      <c r="V62" s="190"/>
      <c r="W62" s="167"/>
      <c r="X62" s="62"/>
      <c r="Y62" s="65"/>
      <c r="Z62" s="66"/>
      <c r="AA62" s="67"/>
      <c r="AB62" s="62"/>
      <c r="AC62" s="68"/>
      <c r="AD62" s="189" t="s">
        <v>72</v>
      </c>
      <c r="AE62" s="190"/>
      <c r="AF62" s="167"/>
      <c r="AG62" s="62"/>
      <c r="AH62" s="65"/>
      <c r="AI62" s="66"/>
      <c r="AJ62" s="67"/>
      <c r="AK62" s="62"/>
      <c r="AL62" s="68"/>
      <c r="AM62" s="189" t="s">
        <v>73</v>
      </c>
      <c r="AN62" s="190"/>
      <c r="AO62" s="167"/>
      <c r="AP62" s="62"/>
      <c r="AQ62" s="65"/>
      <c r="AR62" s="66"/>
      <c r="AS62" s="67"/>
    </row>
    <row r="63" spans="1:45" ht="13.2" x14ac:dyDescent="0.25">
      <c r="A63" s="62"/>
      <c r="B63" s="68"/>
      <c r="C63" s="191" t="s">
        <v>5</v>
      </c>
      <c r="D63" s="167"/>
      <c r="E63" s="69"/>
      <c r="F63" s="62"/>
      <c r="G63" s="65"/>
      <c r="H63" s="66"/>
      <c r="I63" s="67"/>
      <c r="J63" s="62"/>
      <c r="K63" s="68"/>
      <c r="L63" s="191" t="s">
        <v>5</v>
      </c>
      <c r="M63" s="167"/>
      <c r="N63" s="69"/>
      <c r="O63" s="62"/>
      <c r="P63" s="65"/>
      <c r="Q63" s="66"/>
      <c r="R63" s="67"/>
      <c r="S63" s="62"/>
      <c r="T63" s="68"/>
      <c r="U63" s="191" t="s">
        <v>5</v>
      </c>
      <c r="V63" s="167"/>
      <c r="W63" s="69"/>
      <c r="X63" s="62"/>
      <c r="Y63" s="65"/>
      <c r="Z63" s="66"/>
      <c r="AA63" s="67"/>
      <c r="AB63" s="62"/>
      <c r="AC63" s="68"/>
      <c r="AD63" s="191" t="s">
        <v>5</v>
      </c>
      <c r="AE63" s="167"/>
      <c r="AF63" s="69"/>
      <c r="AG63" s="62"/>
      <c r="AH63" s="65"/>
      <c r="AI63" s="66"/>
      <c r="AJ63" s="67"/>
      <c r="AK63" s="62"/>
      <c r="AL63" s="68"/>
      <c r="AM63" s="191" t="s">
        <v>5</v>
      </c>
      <c r="AN63" s="167"/>
      <c r="AO63" s="69"/>
      <c r="AP63" s="62"/>
      <c r="AQ63" s="65"/>
      <c r="AR63" s="66"/>
      <c r="AS63" s="67"/>
    </row>
    <row r="64" spans="1:45" ht="13.2" x14ac:dyDescent="0.25">
      <c r="A64" s="62"/>
      <c r="B64" s="68"/>
      <c r="C64" s="191" t="s">
        <v>6</v>
      </c>
      <c r="D64" s="167"/>
      <c r="E64" s="69"/>
      <c r="F64" s="62"/>
      <c r="G64" s="65"/>
      <c r="H64" s="66"/>
      <c r="I64" s="67"/>
      <c r="J64" s="62"/>
      <c r="K64" s="68"/>
      <c r="L64" s="191" t="s">
        <v>6</v>
      </c>
      <c r="M64" s="167"/>
      <c r="N64" s="69"/>
      <c r="O64" s="62"/>
      <c r="P64" s="65"/>
      <c r="Q64" s="66"/>
      <c r="R64" s="67"/>
      <c r="S64" s="62"/>
      <c r="T64" s="68"/>
      <c r="U64" s="191" t="s">
        <v>6</v>
      </c>
      <c r="V64" s="167"/>
      <c r="W64" s="69"/>
      <c r="X64" s="62"/>
      <c r="Y64" s="65"/>
      <c r="Z64" s="66"/>
      <c r="AA64" s="67"/>
      <c r="AB64" s="62"/>
      <c r="AC64" s="68"/>
      <c r="AD64" s="191" t="s">
        <v>6</v>
      </c>
      <c r="AE64" s="167"/>
      <c r="AF64" s="69"/>
      <c r="AG64" s="62"/>
      <c r="AH64" s="65"/>
      <c r="AI64" s="66"/>
      <c r="AJ64" s="67"/>
      <c r="AK64" s="62"/>
      <c r="AL64" s="68"/>
      <c r="AM64" s="191" t="s">
        <v>6</v>
      </c>
      <c r="AN64" s="167"/>
      <c r="AO64" s="69"/>
      <c r="AP64" s="62"/>
      <c r="AQ64" s="65"/>
      <c r="AR64" s="66"/>
      <c r="AS64" s="67"/>
    </row>
    <row r="65" spans="1:45" ht="13.2" x14ac:dyDescent="0.25">
      <c r="A65" s="62"/>
      <c r="B65" s="68"/>
      <c r="C65" s="191" t="s">
        <v>7</v>
      </c>
      <c r="D65" s="167"/>
      <c r="E65" s="69"/>
      <c r="F65" s="62"/>
      <c r="G65" s="65"/>
      <c r="H65" s="66"/>
      <c r="I65" s="67"/>
      <c r="J65" s="62"/>
      <c r="K65" s="68"/>
      <c r="L65" s="191" t="s">
        <v>7</v>
      </c>
      <c r="M65" s="167"/>
      <c r="N65" s="69"/>
      <c r="O65" s="62"/>
      <c r="P65" s="65"/>
      <c r="Q65" s="66"/>
      <c r="R65" s="67"/>
      <c r="S65" s="62"/>
      <c r="T65" s="68"/>
      <c r="U65" s="191" t="s">
        <v>7</v>
      </c>
      <c r="V65" s="167"/>
      <c r="W65" s="69"/>
      <c r="X65" s="62"/>
      <c r="Y65" s="65"/>
      <c r="Z65" s="66"/>
      <c r="AA65" s="67"/>
      <c r="AB65" s="62"/>
      <c r="AC65" s="68"/>
      <c r="AD65" s="191" t="s">
        <v>7</v>
      </c>
      <c r="AE65" s="167"/>
      <c r="AF65" s="69"/>
      <c r="AG65" s="62"/>
      <c r="AH65" s="65"/>
      <c r="AI65" s="66"/>
      <c r="AJ65" s="67"/>
      <c r="AK65" s="62"/>
      <c r="AL65" s="68"/>
      <c r="AM65" s="191" t="s">
        <v>7</v>
      </c>
      <c r="AN65" s="167"/>
      <c r="AO65" s="69"/>
      <c r="AP65" s="62"/>
      <c r="AQ65" s="65"/>
      <c r="AR65" s="66"/>
      <c r="AS65" s="67"/>
    </row>
    <row r="66" spans="1:45" ht="13.2" x14ac:dyDescent="0.25">
      <c r="A66" s="62"/>
      <c r="B66" s="68"/>
      <c r="C66" s="192" t="s">
        <v>8</v>
      </c>
      <c r="D66" s="167"/>
      <c r="E66" s="69"/>
      <c r="F66" s="62"/>
      <c r="G66" s="65"/>
      <c r="H66" s="66"/>
      <c r="I66" s="67"/>
      <c r="J66" s="62"/>
      <c r="K66" s="68"/>
      <c r="L66" s="192" t="s">
        <v>8</v>
      </c>
      <c r="M66" s="167"/>
      <c r="N66" s="69"/>
      <c r="O66" s="62"/>
      <c r="P66" s="65"/>
      <c r="Q66" s="66"/>
      <c r="R66" s="67"/>
      <c r="S66" s="62"/>
      <c r="T66" s="68"/>
      <c r="U66" s="192" t="s">
        <v>8</v>
      </c>
      <c r="V66" s="167"/>
      <c r="W66" s="69"/>
      <c r="X66" s="62"/>
      <c r="Y66" s="65"/>
      <c r="Z66" s="66"/>
      <c r="AA66" s="67"/>
      <c r="AB66" s="62"/>
      <c r="AC66" s="68"/>
      <c r="AD66" s="192" t="s">
        <v>8</v>
      </c>
      <c r="AE66" s="167"/>
      <c r="AF66" s="69"/>
      <c r="AG66" s="62"/>
      <c r="AH66" s="65"/>
      <c r="AI66" s="66"/>
      <c r="AJ66" s="67"/>
      <c r="AK66" s="62"/>
      <c r="AL66" s="68"/>
      <c r="AM66" s="192" t="s">
        <v>8</v>
      </c>
      <c r="AN66" s="167"/>
      <c r="AO66" s="69"/>
      <c r="AP66" s="62"/>
      <c r="AQ66" s="65"/>
      <c r="AR66" s="66"/>
      <c r="AS66" s="67"/>
    </row>
    <row r="67" spans="1:45" ht="13.8" x14ac:dyDescent="0.3">
      <c r="A67" s="62"/>
      <c r="B67" s="68"/>
      <c r="C67" s="193" t="s">
        <v>9</v>
      </c>
      <c r="D67" s="167"/>
      <c r="E67" s="70"/>
      <c r="F67" s="62"/>
      <c r="G67" s="65"/>
      <c r="H67" s="66"/>
      <c r="I67" s="67"/>
      <c r="J67" s="62"/>
      <c r="K67" s="68"/>
      <c r="L67" s="193" t="s">
        <v>9</v>
      </c>
      <c r="M67" s="167"/>
      <c r="N67" s="70"/>
      <c r="O67" s="62"/>
      <c r="P67" s="65"/>
      <c r="Q67" s="66"/>
      <c r="R67" s="67"/>
      <c r="S67" s="62"/>
      <c r="T67" s="68"/>
      <c r="U67" s="193" t="s">
        <v>9</v>
      </c>
      <c r="V67" s="167"/>
      <c r="W67" s="70"/>
      <c r="X67" s="62"/>
      <c r="Y67" s="65"/>
      <c r="Z67" s="66"/>
      <c r="AA67" s="67"/>
      <c r="AB67" s="62"/>
      <c r="AC67" s="68"/>
      <c r="AD67" s="193" t="s">
        <v>9</v>
      </c>
      <c r="AE67" s="167"/>
      <c r="AF67" s="70"/>
      <c r="AG67" s="62"/>
      <c r="AH67" s="65"/>
      <c r="AI67" s="66"/>
      <c r="AJ67" s="67"/>
      <c r="AK67" s="62"/>
      <c r="AL67" s="68"/>
      <c r="AM67" s="193" t="s">
        <v>9</v>
      </c>
      <c r="AN67" s="167"/>
      <c r="AO67" s="70"/>
      <c r="AP67" s="62"/>
      <c r="AQ67" s="65"/>
      <c r="AR67" s="66"/>
      <c r="AS67" s="67"/>
    </row>
    <row r="68" spans="1:45" ht="13.2" x14ac:dyDescent="0.25">
      <c r="A68" s="62"/>
      <c r="B68" s="62"/>
      <c r="C68" s="65"/>
      <c r="D68" s="65"/>
      <c r="E68" s="62"/>
      <c r="F68" s="62"/>
      <c r="G68" s="65"/>
      <c r="H68" s="66"/>
      <c r="I68" s="67"/>
      <c r="J68" s="62"/>
      <c r="K68" s="62"/>
      <c r="L68" s="65"/>
      <c r="M68" s="65"/>
      <c r="N68" s="62"/>
      <c r="O68" s="62"/>
      <c r="P68" s="65"/>
      <c r="Q68" s="66"/>
      <c r="R68" s="67"/>
      <c r="S68" s="62"/>
      <c r="T68" s="62"/>
      <c r="U68" s="65"/>
      <c r="V68" s="65"/>
      <c r="W68" s="62"/>
      <c r="X68" s="62"/>
      <c r="Y68" s="65"/>
      <c r="Z68" s="66"/>
      <c r="AA68" s="67"/>
      <c r="AB68" s="62"/>
      <c r="AC68" s="62"/>
      <c r="AD68" s="65"/>
      <c r="AE68" s="65"/>
      <c r="AF68" s="62"/>
      <c r="AG68" s="62"/>
      <c r="AH68" s="65"/>
      <c r="AI68" s="66"/>
      <c r="AJ68" s="67"/>
      <c r="AK68" s="62"/>
      <c r="AL68" s="62"/>
      <c r="AM68" s="65"/>
      <c r="AN68" s="65"/>
      <c r="AO68" s="62"/>
      <c r="AP68" s="62"/>
      <c r="AQ68" s="65"/>
      <c r="AR68" s="66"/>
      <c r="AS68" s="67"/>
    </row>
    <row r="69" spans="1:45" ht="13.2" x14ac:dyDescent="0.25">
      <c r="A69" s="64"/>
      <c r="B69" s="64"/>
      <c r="C69" s="63"/>
      <c r="D69" s="65"/>
      <c r="E69" s="64"/>
      <c r="F69" s="64"/>
      <c r="G69" s="63"/>
      <c r="H69" s="66"/>
      <c r="I69" s="67"/>
      <c r="J69" s="64"/>
      <c r="K69" s="64"/>
      <c r="L69" s="63"/>
      <c r="M69" s="65"/>
      <c r="N69" s="64"/>
      <c r="O69" s="64"/>
      <c r="P69" s="63"/>
      <c r="Q69" s="66"/>
      <c r="R69" s="67"/>
      <c r="S69" s="64"/>
      <c r="T69" s="64"/>
      <c r="U69" s="63"/>
      <c r="V69" s="65"/>
      <c r="W69" s="64"/>
      <c r="X69" s="64"/>
      <c r="Y69" s="63"/>
      <c r="Z69" s="66"/>
      <c r="AA69" s="67"/>
      <c r="AB69" s="64"/>
      <c r="AC69" s="64"/>
      <c r="AD69" s="63"/>
      <c r="AE69" s="65"/>
      <c r="AF69" s="64"/>
      <c r="AG69" s="64"/>
      <c r="AH69" s="63"/>
      <c r="AI69" s="66"/>
      <c r="AJ69" s="67"/>
      <c r="AK69" s="64"/>
      <c r="AL69" s="64"/>
      <c r="AM69" s="63"/>
      <c r="AN69" s="65"/>
      <c r="AO69" s="64"/>
      <c r="AP69" s="64"/>
      <c r="AQ69" s="63"/>
      <c r="AR69" s="66"/>
      <c r="AS69" s="67"/>
    </row>
    <row r="70" spans="1:45" ht="16.8" x14ac:dyDescent="0.3">
      <c r="A70" s="194" t="s">
        <v>10</v>
      </c>
      <c r="B70" s="190"/>
      <c r="C70" s="167"/>
      <c r="D70" s="71"/>
      <c r="E70" s="195" t="s">
        <v>11</v>
      </c>
      <c r="F70" s="190"/>
      <c r="G70" s="167"/>
      <c r="H70" s="66"/>
      <c r="I70" s="72"/>
      <c r="J70" s="194" t="s">
        <v>10</v>
      </c>
      <c r="K70" s="190"/>
      <c r="L70" s="167"/>
      <c r="M70" s="71"/>
      <c r="N70" s="195" t="s">
        <v>11</v>
      </c>
      <c r="O70" s="190"/>
      <c r="P70" s="167"/>
      <c r="Q70" s="66"/>
      <c r="R70" s="72"/>
      <c r="S70" s="194" t="s">
        <v>10</v>
      </c>
      <c r="T70" s="190"/>
      <c r="U70" s="167"/>
      <c r="V70" s="71"/>
      <c r="W70" s="195" t="s">
        <v>11</v>
      </c>
      <c r="X70" s="190"/>
      <c r="Y70" s="167"/>
      <c r="Z70" s="66"/>
      <c r="AA70" s="72"/>
      <c r="AB70" s="194" t="s">
        <v>10</v>
      </c>
      <c r="AC70" s="190"/>
      <c r="AD70" s="167"/>
      <c r="AE70" s="71"/>
      <c r="AF70" s="195" t="s">
        <v>11</v>
      </c>
      <c r="AG70" s="190"/>
      <c r="AH70" s="167"/>
      <c r="AI70" s="66"/>
      <c r="AJ70" s="72"/>
      <c r="AK70" s="194" t="s">
        <v>10</v>
      </c>
      <c r="AL70" s="190"/>
      <c r="AM70" s="167"/>
      <c r="AN70" s="71"/>
      <c r="AO70" s="195" t="s">
        <v>11</v>
      </c>
      <c r="AP70" s="190"/>
      <c r="AQ70" s="167"/>
      <c r="AR70" s="66"/>
      <c r="AS70" s="72"/>
    </row>
    <row r="71" spans="1:45" ht="13.2" x14ac:dyDescent="0.25">
      <c r="A71" s="64"/>
      <c r="B71" s="64"/>
      <c r="C71" s="63"/>
      <c r="D71" s="65"/>
      <c r="E71" s="64"/>
      <c r="F71" s="64"/>
      <c r="G71" s="63"/>
      <c r="H71" s="66"/>
      <c r="I71" s="67"/>
      <c r="J71" s="64"/>
      <c r="K71" s="64"/>
      <c r="L71" s="63"/>
      <c r="M71" s="65"/>
      <c r="N71" s="64"/>
      <c r="O71" s="64"/>
      <c r="P71" s="63"/>
      <c r="Q71" s="66"/>
      <c r="R71" s="67"/>
      <c r="S71" s="64"/>
      <c r="T71" s="64"/>
      <c r="U71" s="63"/>
      <c r="V71" s="65"/>
      <c r="W71" s="64"/>
      <c r="X71" s="64"/>
      <c r="Y71" s="63"/>
      <c r="Z71" s="66"/>
      <c r="AA71" s="67"/>
      <c r="AB71" s="64"/>
      <c r="AC71" s="64"/>
      <c r="AD71" s="63"/>
      <c r="AE71" s="65"/>
      <c r="AF71" s="64"/>
      <c r="AG71" s="64"/>
      <c r="AH71" s="63"/>
      <c r="AI71" s="66"/>
      <c r="AJ71" s="67"/>
      <c r="AK71" s="64"/>
      <c r="AL71" s="64"/>
      <c r="AM71" s="63"/>
      <c r="AN71" s="65"/>
      <c r="AO71" s="64"/>
      <c r="AP71" s="64"/>
      <c r="AQ71" s="63"/>
      <c r="AR71" s="66"/>
      <c r="AS71" s="67"/>
    </row>
    <row r="72" spans="1:45" ht="28.5" customHeight="1" x14ac:dyDescent="0.3">
      <c r="A72" s="176" t="s">
        <v>12</v>
      </c>
      <c r="B72" s="167"/>
      <c r="C72" s="73"/>
      <c r="D72" s="71"/>
      <c r="E72" s="177" t="s">
        <v>12</v>
      </c>
      <c r="F72" s="167"/>
      <c r="G72" s="70"/>
      <c r="H72" s="66"/>
      <c r="I72" s="72"/>
      <c r="J72" s="176" t="s">
        <v>12</v>
      </c>
      <c r="K72" s="167"/>
      <c r="L72" s="73"/>
      <c r="M72" s="71"/>
      <c r="N72" s="177" t="s">
        <v>12</v>
      </c>
      <c r="O72" s="167"/>
      <c r="P72" s="70"/>
      <c r="Q72" s="66"/>
      <c r="R72" s="72"/>
      <c r="S72" s="176" t="s">
        <v>12</v>
      </c>
      <c r="T72" s="167"/>
      <c r="U72" s="73"/>
      <c r="V72" s="71"/>
      <c r="W72" s="177" t="s">
        <v>12</v>
      </c>
      <c r="X72" s="167"/>
      <c r="Y72" s="70"/>
      <c r="Z72" s="66"/>
      <c r="AA72" s="72"/>
      <c r="AB72" s="176" t="s">
        <v>12</v>
      </c>
      <c r="AC72" s="167"/>
      <c r="AD72" s="73"/>
      <c r="AE72" s="71"/>
      <c r="AF72" s="177" t="s">
        <v>12</v>
      </c>
      <c r="AG72" s="167"/>
      <c r="AH72" s="70"/>
      <c r="AI72" s="66"/>
      <c r="AJ72" s="72"/>
      <c r="AK72" s="176" t="s">
        <v>12</v>
      </c>
      <c r="AL72" s="167"/>
      <c r="AM72" s="73"/>
      <c r="AN72" s="71"/>
      <c r="AO72" s="177" t="s">
        <v>12</v>
      </c>
      <c r="AP72" s="167"/>
      <c r="AQ72" s="70"/>
      <c r="AR72" s="66"/>
      <c r="AS72" s="72"/>
    </row>
    <row r="73" spans="1:45" ht="13.2" x14ac:dyDescent="0.25">
      <c r="A73" s="171" t="s">
        <v>13</v>
      </c>
      <c r="B73" s="167"/>
      <c r="C73" s="74"/>
      <c r="D73" s="71"/>
      <c r="E73" s="178" t="s">
        <v>13</v>
      </c>
      <c r="F73" s="167"/>
      <c r="G73" s="74"/>
      <c r="H73" s="66"/>
      <c r="I73" s="72"/>
      <c r="J73" s="171" t="s">
        <v>13</v>
      </c>
      <c r="K73" s="167"/>
      <c r="L73" s="74"/>
      <c r="M73" s="71"/>
      <c r="N73" s="178" t="s">
        <v>13</v>
      </c>
      <c r="O73" s="167"/>
      <c r="P73" s="74"/>
      <c r="Q73" s="66"/>
      <c r="R73" s="72"/>
      <c r="S73" s="171" t="s">
        <v>13</v>
      </c>
      <c r="T73" s="167"/>
      <c r="U73" s="74"/>
      <c r="V73" s="71"/>
      <c r="W73" s="178" t="s">
        <v>13</v>
      </c>
      <c r="X73" s="167"/>
      <c r="Y73" s="74"/>
      <c r="Z73" s="66"/>
      <c r="AA73" s="72"/>
      <c r="AB73" s="171" t="s">
        <v>13</v>
      </c>
      <c r="AC73" s="167"/>
      <c r="AD73" s="74"/>
      <c r="AE73" s="71"/>
      <c r="AF73" s="178" t="s">
        <v>13</v>
      </c>
      <c r="AG73" s="167"/>
      <c r="AH73" s="74"/>
      <c r="AI73" s="66"/>
      <c r="AJ73" s="72"/>
      <c r="AK73" s="171" t="s">
        <v>13</v>
      </c>
      <c r="AL73" s="167"/>
      <c r="AM73" s="74"/>
      <c r="AN73" s="71"/>
      <c r="AO73" s="178" t="s">
        <v>13</v>
      </c>
      <c r="AP73" s="167"/>
      <c r="AQ73" s="74"/>
      <c r="AR73" s="66"/>
      <c r="AS73" s="72"/>
    </row>
    <row r="74" spans="1:45" ht="13.2" x14ac:dyDescent="0.25">
      <c r="A74" s="175" t="s">
        <v>14</v>
      </c>
      <c r="B74" s="167"/>
      <c r="C74" s="74"/>
      <c r="D74" s="75"/>
      <c r="E74" s="173" t="s">
        <v>14</v>
      </c>
      <c r="F74" s="167"/>
      <c r="G74" s="74"/>
      <c r="H74" s="66"/>
      <c r="I74" s="72"/>
      <c r="J74" s="175" t="s">
        <v>14</v>
      </c>
      <c r="K74" s="167"/>
      <c r="L74" s="74"/>
      <c r="M74" s="75"/>
      <c r="N74" s="173" t="s">
        <v>14</v>
      </c>
      <c r="O74" s="167"/>
      <c r="P74" s="74"/>
      <c r="Q74" s="66"/>
      <c r="R74" s="72"/>
      <c r="S74" s="175" t="s">
        <v>14</v>
      </c>
      <c r="T74" s="167"/>
      <c r="U74" s="74"/>
      <c r="V74" s="75"/>
      <c r="W74" s="173" t="s">
        <v>14</v>
      </c>
      <c r="X74" s="167"/>
      <c r="Y74" s="74"/>
      <c r="Z74" s="66"/>
      <c r="AA74" s="72"/>
      <c r="AB74" s="175" t="s">
        <v>14</v>
      </c>
      <c r="AC74" s="167"/>
      <c r="AD74" s="74"/>
      <c r="AE74" s="75"/>
      <c r="AF74" s="173" t="s">
        <v>14</v>
      </c>
      <c r="AG74" s="167"/>
      <c r="AH74" s="74"/>
      <c r="AI74" s="66"/>
      <c r="AJ74" s="72"/>
      <c r="AK74" s="175" t="s">
        <v>14</v>
      </c>
      <c r="AL74" s="167"/>
      <c r="AM74" s="74"/>
      <c r="AN74" s="75"/>
      <c r="AO74" s="173" t="s">
        <v>14</v>
      </c>
      <c r="AP74" s="167"/>
      <c r="AQ74" s="74"/>
      <c r="AR74" s="66"/>
      <c r="AS74" s="72"/>
    </row>
    <row r="75" spans="1:45" ht="13.2" x14ac:dyDescent="0.25">
      <c r="A75" s="175" t="s">
        <v>15</v>
      </c>
      <c r="B75" s="167"/>
      <c r="C75" s="74"/>
      <c r="D75" s="75"/>
      <c r="E75" s="173" t="s">
        <v>15</v>
      </c>
      <c r="F75" s="167"/>
      <c r="G75" s="74"/>
      <c r="H75" s="66"/>
      <c r="I75" s="72"/>
      <c r="J75" s="175" t="s">
        <v>15</v>
      </c>
      <c r="K75" s="167"/>
      <c r="L75" s="74"/>
      <c r="M75" s="75"/>
      <c r="N75" s="173" t="s">
        <v>15</v>
      </c>
      <c r="O75" s="167"/>
      <c r="P75" s="74"/>
      <c r="Q75" s="66"/>
      <c r="R75" s="72"/>
      <c r="S75" s="175" t="s">
        <v>15</v>
      </c>
      <c r="T75" s="167"/>
      <c r="U75" s="74"/>
      <c r="V75" s="75"/>
      <c r="W75" s="173" t="s">
        <v>15</v>
      </c>
      <c r="X75" s="167"/>
      <c r="Y75" s="74"/>
      <c r="Z75" s="66"/>
      <c r="AA75" s="72"/>
      <c r="AB75" s="175" t="s">
        <v>15</v>
      </c>
      <c r="AC75" s="167"/>
      <c r="AD75" s="74"/>
      <c r="AE75" s="75"/>
      <c r="AF75" s="173" t="s">
        <v>15</v>
      </c>
      <c r="AG75" s="167"/>
      <c r="AH75" s="74"/>
      <c r="AI75" s="66"/>
      <c r="AJ75" s="72"/>
      <c r="AK75" s="175" t="s">
        <v>15</v>
      </c>
      <c r="AL75" s="167"/>
      <c r="AM75" s="74"/>
      <c r="AN75" s="75"/>
      <c r="AO75" s="173" t="s">
        <v>15</v>
      </c>
      <c r="AP75" s="167"/>
      <c r="AQ75" s="74"/>
      <c r="AR75" s="66"/>
      <c r="AS75" s="72"/>
    </row>
    <row r="76" spans="1:45" ht="13.2" x14ac:dyDescent="0.25">
      <c r="A76" s="175" t="s">
        <v>16</v>
      </c>
      <c r="B76" s="167"/>
      <c r="C76" s="74"/>
      <c r="D76" s="71"/>
      <c r="E76" s="173" t="s">
        <v>17</v>
      </c>
      <c r="F76" s="167"/>
      <c r="G76" s="74"/>
      <c r="H76" s="66"/>
      <c r="I76" s="72"/>
      <c r="J76" s="175" t="s">
        <v>16</v>
      </c>
      <c r="K76" s="167"/>
      <c r="L76" s="74"/>
      <c r="M76" s="71"/>
      <c r="N76" s="173" t="s">
        <v>17</v>
      </c>
      <c r="O76" s="167"/>
      <c r="P76" s="74"/>
      <c r="Q76" s="66"/>
      <c r="R76" s="72"/>
      <c r="S76" s="175" t="s">
        <v>16</v>
      </c>
      <c r="T76" s="167"/>
      <c r="U76" s="74"/>
      <c r="V76" s="71"/>
      <c r="W76" s="173" t="s">
        <v>17</v>
      </c>
      <c r="X76" s="167"/>
      <c r="Y76" s="74"/>
      <c r="Z76" s="66"/>
      <c r="AA76" s="72"/>
      <c r="AB76" s="175" t="s">
        <v>16</v>
      </c>
      <c r="AC76" s="167"/>
      <c r="AD76" s="74"/>
      <c r="AE76" s="71"/>
      <c r="AF76" s="173" t="s">
        <v>17</v>
      </c>
      <c r="AG76" s="167"/>
      <c r="AH76" s="74"/>
      <c r="AI76" s="66"/>
      <c r="AJ76" s="72"/>
      <c r="AK76" s="175" t="s">
        <v>16</v>
      </c>
      <c r="AL76" s="167"/>
      <c r="AM76" s="74"/>
      <c r="AN76" s="71"/>
      <c r="AO76" s="173" t="s">
        <v>17</v>
      </c>
      <c r="AP76" s="167"/>
      <c r="AQ76" s="74"/>
      <c r="AR76" s="66"/>
      <c r="AS76" s="72"/>
    </row>
    <row r="77" spans="1:45" ht="47.25" customHeight="1" x14ac:dyDescent="0.25">
      <c r="A77" s="175" t="s">
        <v>18</v>
      </c>
      <c r="B77" s="167"/>
      <c r="C77" s="76"/>
      <c r="D77" s="71"/>
      <c r="E77" s="173" t="s">
        <v>18</v>
      </c>
      <c r="F77" s="167"/>
      <c r="G77" s="76"/>
      <c r="H77" s="66"/>
      <c r="I77" s="72"/>
      <c r="J77" s="175" t="s">
        <v>18</v>
      </c>
      <c r="K77" s="167"/>
      <c r="L77" s="76"/>
      <c r="M77" s="71"/>
      <c r="N77" s="173" t="s">
        <v>18</v>
      </c>
      <c r="O77" s="167"/>
      <c r="P77" s="76"/>
      <c r="Q77" s="66"/>
      <c r="R77" s="72"/>
      <c r="S77" s="175" t="s">
        <v>18</v>
      </c>
      <c r="T77" s="167"/>
      <c r="U77" s="76"/>
      <c r="V77" s="71"/>
      <c r="W77" s="173" t="s">
        <v>18</v>
      </c>
      <c r="X77" s="167"/>
      <c r="Y77" s="76"/>
      <c r="Z77" s="66"/>
      <c r="AA77" s="72"/>
      <c r="AB77" s="175" t="s">
        <v>18</v>
      </c>
      <c r="AC77" s="167"/>
      <c r="AD77" s="76"/>
      <c r="AE77" s="71"/>
      <c r="AF77" s="173" t="s">
        <v>18</v>
      </c>
      <c r="AG77" s="167"/>
      <c r="AH77" s="76"/>
      <c r="AI77" s="66"/>
      <c r="AJ77" s="72"/>
      <c r="AK77" s="175" t="s">
        <v>18</v>
      </c>
      <c r="AL77" s="167"/>
      <c r="AM77" s="76"/>
      <c r="AN77" s="71"/>
      <c r="AO77" s="173" t="s">
        <v>18</v>
      </c>
      <c r="AP77" s="167"/>
      <c r="AQ77" s="76"/>
      <c r="AR77" s="66"/>
      <c r="AS77" s="72"/>
    </row>
    <row r="78" spans="1:45" ht="33" customHeight="1" x14ac:dyDescent="0.25">
      <c r="A78" s="170" t="s">
        <v>19</v>
      </c>
      <c r="B78" s="77" t="s">
        <v>20</v>
      </c>
      <c r="C78" s="76"/>
      <c r="D78" s="75"/>
      <c r="E78" s="174" t="s">
        <v>19</v>
      </c>
      <c r="F78" s="77" t="s">
        <v>20</v>
      </c>
      <c r="G78" s="76"/>
      <c r="H78" s="66"/>
      <c r="I78" s="72"/>
      <c r="J78" s="170" t="s">
        <v>19</v>
      </c>
      <c r="K78" s="77" t="s">
        <v>20</v>
      </c>
      <c r="L78" s="76"/>
      <c r="M78" s="75"/>
      <c r="N78" s="174" t="s">
        <v>19</v>
      </c>
      <c r="O78" s="77" t="s">
        <v>20</v>
      </c>
      <c r="P78" s="76"/>
      <c r="Q78" s="66"/>
      <c r="R78" s="72"/>
      <c r="S78" s="170" t="s">
        <v>19</v>
      </c>
      <c r="T78" s="77" t="s">
        <v>20</v>
      </c>
      <c r="U78" s="76"/>
      <c r="V78" s="75"/>
      <c r="W78" s="174" t="s">
        <v>19</v>
      </c>
      <c r="X78" s="77" t="s">
        <v>20</v>
      </c>
      <c r="Y78" s="76"/>
      <c r="Z78" s="66"/>
      <c r="AA78" s="72"/>
      <c r="AB78" s="170" t="s">
        <v>19</v>
      </c>
      <c r="AC78" s="77" t="s">
        <v>20</v>
      </c>
      <c r="AD78" s="76"/>
      <c r="AE78" s="75"/>
      <c r="AF78" s="174" t="s">
        <v>19</v>
      </c>
      <c r="AG78" s="77" t="s">
        <v>20</v>
      </c>
      <c r="AH78" s="76"/>
      <c r="AI78" s="66"/>
      <c r="AJ78" s="72"/>
      <c r="AK78" s="170" t="s">
        <v>19</v>
      </c>
      <c r="AL78" s="77" t="s">
        <v>20</v>
      </c>
      <c r="AM78" s="76"/>
      <c r="AN78" s="75"/>
      <c r="AO78" s="174" t="s">
        <v>19</v>
      </c>
      <c r="AP78" s="77" t="s">
        <v>20</v>
      </c>
      <c r="AQ78" s="76"/>
      <c r="AR78" s="66"/>
      <c r="AS78" s="72"/>
    </row>
    <row r="79" spans="1:45" ht="39" customHeight="1" x14ac:dyDescent="0.25">
      <c r="A79" s="158"/>
      <c r="B79" s="78" t="s">
        <v>21</v>
      </c>
      <c r="C79" s="76"/>
      <c r="D79" s="75"/>
      <c r="E79" s="167"/>
      <c r="F79" s="78" t="s">
        <v>21</v>
      </c>
      <c r="G79" s="76"/>
      <c r="H79" s="66"/>
      <c r="I79" s="72"/>
      <c r="J79" s="158"/>
      <c r="K79" s="78" t="s">
        <v>21</v>
      </c>
      <c r="L79" s="76"/>
      <c r="M79" s="75"/>
      <c r="N79" s="167"/>
      <c r="O79" s="78" t="s">
        <v>21</v>
      </c>
      <c r="P79" s="76"/>
      <c r="Q79" s="66"/>
      <c r="R79" s="72"/>
      <c r="S79" s="158"/>
      <c r="T79" s="78" t="s">
        <v>21</v>
      </c>
      <c r="U79" s="76"/>
      <c r="V79" s="75"/>
      <c r="W79" s="167"/>
      <c r="X79" s="78" t="s">
        <v>21</v>
      </c>
      <c r="Y79" s="76"/>
      <c r="Z79" s="66"/>
      <c r="AA79" s="72"/>
      <c r="AB79" s="158"/>
      <c r="AC79" s="78" t="s">
        <v>21</v>
      </c>
      <c r="AD79" s="76"/>
      <c r="AE79" s="75"/>
      <c r="AF79" s="167"/>
      <c r="AG79" s="78" t="s">
        <v>21</v>
      </c>
      <c r="AH79" s="76"/>
      <c r="AI79" s="66"/>
      <c r="AJ79" s="72"/>
      <c r="AK79" s="158"/>
      <c r="AL79" s="78" t="s">
        <v>21</v>
      </c>
      <c r="AM79" s="76"/>
      <c r="AN79" s="75"/>
      <c r="AO79" s="167"/>
      <c r="AP79" s="78" t="s">
        <v>21</v>
      </c>
      <c r="AQ79" s="76"/>
      <c r="AR79" s="66"/>
      <c r="AS79" s="72"/>
    </row>
    <row r="80" spans="1:45" ht="36.75" customHeight="1" x14ac:dyDescent="0.25">
      <c r="A80" s="171" t="s">
        <v>22</v>
      </c>
      <c r="B80" s="167"/>
      <c r="C80" s="76"/>
      <c r="D80" s="75"/>
      <c r="E80" s="178" t="s">
        <v>22</v>
      </c>
      <c r="F80" s="167"/>
      <c r="G80" s="76"/>
      <c r="H80" s="66"/>
      <c r="I80" s="72"/>
      <c r="J80" s="171" t="s">
        <v>22</v>
      </c>
      <c r="K80" s="167"/>
      <c r="L80" s="76"/>
      <c r="M80" s="75"/>
      <c r="N80" s="178" t="s">
        <v>22</v>
      </c>
      <c r="O80" s="167"/>
      <c r="P80" s="76"/>
      <c r="Q80" s="66"/>
      <c r="R80" s="72"/>
      <c r="S80" s="171" t="s">
        <v>22</v>
      </c>
      <c r="T80" s="167"/>
      <c r="U80" s="76"/>
      <c r="V80" s="75"/>
      <c r="W80" s="178" t="s">
        <v>22</v>
      </c>
      <c r="X80" s="167"/>
      <c r="Y80" s="76"/>
      <c r="Z80" s="66"/>
      <c r="AA80" s="72"/>
      <c r="AB80" s="171" t="s">
        <v>22</v>
      </c>
      <c r="AC80" s="167"/>
      <c r="AD80" s="76"/>
      <c r="AE80" s="75"/>
      <c r="AF80" s="178" t="s">
        <v>22</v>
      </c>
      <c r="AG80" s="167"/>
      <c r="AH80" s="76"/>
      <c r="AI80" s="66"/>
      <c r="AJ80" s="72"/>
      <c r="AK80" s="171" t="s">
        <v>22</v>
      </c>
      <c r="AL80" s="167"/>
      <c r="AM80" s="76"/>
      <c r="AN80" s="75"/>
      <c r="AO80" s="178" t="s">
        <v>22</v>
      </c>
      <c r="AP80" s="167"/>
      <c r="AQ80" s="76"/>
      <c r="AR80" s="66"/>
      <c r="AS80" s="72"/>
    </row>
    <row r="81" spans="1:53" ht="36.75" customHeight="1" x14ac:dyDescent="0.25">
      <c r="A81" s="166" t="s">
        <v>74</v>
      </c>
      <c r="B81" s="167"/>
      <c r="C81" s="79">
        <f>SUM(C78-C77)</f>
        <v>0</v>
      </c>
      <c r="D81" s="75"/>
      <c r="E81" s="172" t="s">
        <v>75</v>
      </c>
      <c r="F81" s="167"/>
      <c r="G81" s="79">
        <f>ABS(SUM(G77-G78))</f>
        <v>0</v>
      </c>
      <c r="H81" s="66"/>
      <c r="I81" s="72"/>
      <c r="J81" s="166" t="s">
        <v>76</v>
      </c>
      <c r="K81" s="167"/>
      <c r="L81" s="79">
        <f>SUM(L78-L77)</f>
        <v>0</v>
      </c>
      <c r="M81" s="75"/>
      <c r="N81" s="172" t="s">
        <v>77</v>
      </c>
      <c r="O81" s="167"/>
      <c r="P81" s="79">
        <f>ABS(SUM(P77-P78))</f>
        <v>0</v>
      </c>
      <c r="Q81" s="66"/>
      <c r="R81" s="72"/>
      <c r="S81" s="166" t="s">
        <v>78</v>
      </c>
      <c r="T81" s="167"/>
      <c r="U81" s="79">
        <f>SUM(U78-U77)</f>
        <v>0</v>
      </c>
      <c r="V81" s="75"/>
      <c r="W81" s="172" t="s">
        <v>79</v>
      </c>
      <c r="X81" s="167"/>
      <c r="Y81" s="79">
        <f>ABS(SUM(Y77-Y78))</f>
        <v>0</v>
      </c>
      <c r="Z81" s="66"/>
      <c r="AA81" s="72"/>
      <c r="AB81" s="166" t="s">
        <v>80</v>
      </c>
      <c r="AC81" s="167"/>
      <c r="AD81" s="79">
        <f>SUM(AD78-AD77)</f>
        <v>0</v>
      </c>
      <c r="AE81" s="75"/>
      <c r="AF81" s="172" t="s">
        <v>81</v>
      </c>
      <c r="AG81" s="167"/>
      <c r="AH81" s="79">
        <f>ABS(SUM(AH77-AH78))</f>
        <v>0</v>
      </c>
      <c r="AI81" s="66"/>
      <c r="AJ81" s="72"/>
      <c r="AK81" s="166" t="s">
        <v>82</v>
      </c>
      <c r="AL81" s="167"/>
      <c r="AM81" s="79">
        <f>SUM(AM78-AM77)</f>
        <v>0</v>
      </c>
      <c r="AN81" s="75"/>
      <c r="AO81" s="172" t="s">
        <v>83</v>
      </c>
      <c r="AP81" s="167"/>
      <c r="AQ81" s="79">
        <f>ABS(SUM(AQ77-AQ78))</f>
        <v>0</v>
      </c>
      <c r="AR81" s="66"/>
      <c r="AS81" s="72"/>
    </row>
    <row r="82" spans="1:53" ht="32.25" customHeight="1" x14ac:dyDescent="0.25">
      <c r="A82" s="166" t="s">
        <v>84</v>
      </c>
      <c r="B82" s="167"/>
      <c r="C82" s="80">
        <f>SUM(C79-C77)</f>
        <v>0</v>
      </c>
      <c r="D82" s="75"/>
      <c r="E82" s="172" t="s">
        <v>85</v>
      </c>
      <c r="F82" s="167"/>
      <c r="G82" s="80">
        <f>ABS(SUM(G77-G79))</f>
        <v>0</v>
      </c>
      <c r="H82" s="66"/>
      <c r="I82" s="72"/>
      <c r="J82" s="166" t="s">
        <v>86</v>
      </c>
      <c r="K82" s="167"/>
      <c r="L82" s="80">
        <f>SUM(L79-L77)</f>
        <v>0</v>
      </c>
      <c r="M82" s="75"/>
      <c r="N82" s="172" t="s">
        <v>87</v>
      </c>
      <c r="O82" s="167"/>
      <c r="P82" s="80">
        <f>ABS(SUM(P77-P79))</f>
        <v>0</v>
      </c>
      <c r="Q82" s="66"/>
      <c r="R82" s="72"/>
      <c r="S82" s="166" t="s">
        <v>88</v>
      </c>
      <c r="T82" s="167"/>
      <c r="U82" s="80">
        <f>SUM(U79-U77)</f>
        <v>0</v>
      </c>
      <c r="V82" s="75"/>
      <c r="W82" s="172" t="s">
        <v>89</v>
      </c>
      <c r="X82" s="167"/>
      <c r="Y82" s="80">
        <f>ABS(SUM(Y77-Y79))</f>
        <v>0</v>
      </c>
      <c r="Z82" s="66"/>
      <c r="AA82" s="72"/>
      <c r="AB82" s="166" t="s">
        <v>90</v>
      </c>
      <c r="AC82" s="167"/>
      <c r="AD82" s="80">
        <f>SUM(AD79-AD77)</f>
        <v>0</v>
      </c>
      <c r="AE82" s="75"/>
      <c r="AF82" s="172" t="s">
        <v>91</v>
      </c>
      <c r="AG82" s="167"/>
      <c r="AH82" s="80">
        <f>ABS(SUM(AH77-AH79))</f>
        <v>0</v>
      </c>
      <c r="AI82" s="66"/>
      <c r="AJ82" s="72"/>
      <c r="AK82" s="166" t="s">
        <v>92</v>
      </c>
      <c r="AL82" s="167"/>
      <c r="AM82" s="80">
        <f>SUM(AM79-AM77)</f>
        <v>0</v>
      </c>
      <c r="AN82" s="75"/>
      <c r="AO82" s="172" t="s">
        <v>93</v>
      </c>
      <c r="AP82" s="167"/>
      <c r="AQ82" s="80">
        <f>ABS(SUM(AQ77-AQ79))</f>
        <v>0</v>
      </c>
      <c r="AR82" s="66"/>
      <c r="AS82" s="72"/>
    </row>
    <row r="83" spans="1:53" ht="13.2" x14ac:dyDescent="0.25">
      <c r="A83" s="166" t="s">
        <v>94</v>
      </c>
      <c r="B83" s="167"/>
      <c r="C83" s="81">
        <f>SUM(C77-C80)</f>
        <v>0</v>
      </c>
      <c r="D83" s="75"/>
      <c r="E83" s="172" t="s">
        <v>95</v>
      </c>
      <c r="F83" s="167"/>
      <c r="G83" s="81">
        <f>ABS(SUM(G80-G77))</f>
        <v>0</v>
      </c>
      <c r="H83" s="66"/>
      <c r="I83" s="72"/>
      <c r="J83" s="166" t="s">
        <v>96</v>
      </c>
      <c r="K83" s="167"/>
      <c r="L83" s="81">
        <f>SUM(L77-L80)</f>
        <v>0</v>
      </c>
      <c r="M83" s="75"/>
      <c r="N83" s="172" t="s">
        <v>97</v>
      </c>
      <c r="O83" s="167"/>
      <c r="P83" s="81">
        <f>ABS(SUM(P80-P77))</f>
        <v>0</v>
      </c>
      <c r="Q83" s="66"/>
      <c r="R83" s="72"/>
      <c r="S83" s="166" t="s">
        <v>98</v>
      </c>
      <c r="T83" s="167"/>
      <c r="U83" s="81">
        <f>SUM(U77-U80)</f>
        <v>0</v>
      </c>
      <c r="V83" s="75"/>
      <c r="W83" s="172" t="s">
        <v>99</v>
      </c>
      <c r="X83" s="167"/>
      <c r="Y83" s="81">
        <f>ABS(SUM(Y80-Y77))</f>
        <v>0</v>
      </c>
      <c r="Z83" s="66"/>
      <c r="AA83" s="72"/>
      <c r="AB83" s="166" t="s">
        <v>100</v>
      </c>
      <c r="AC83" s="167"/>
      <c r="AD83" s="81">
        <f>SUM(AD77-AD80)</f>
        <v>0</v>
      </c>
      <c r="AE83" s="75"/>
      <c r="AF83" s="172" t="s">
        <v>101</v>
      </c>
      <c r="AG83" s="167"/>
      <c r="AH83" s="81">
        <f>ABS(SUM(AH80-AH77))</f>
        <v>0</v>
      </c>
      <c r="AI83" s="66"/>
      <c r="AJ83" s="72"/>
      <c r="AK83" s="166" t="s">
        <v>102</v>
      </c>
      <c r="AL83" s="167"/>
      <c r="AM83" s="81">
        <f>SUM(AM77-AM80)</f>
        <v>0</v>
      </c>
      <c r="AN83" s="75"/>
      <c r="AO83" s="172" t="s">
        <v>103</v>
      </c>
      <c r="AP83" s="167"/>
      <c r="AQ83" s="81">
        <f>ABS(SUM(AQ80-AQ77))</f>
        <v>0</v>
      </c>
      <c r="AR83" s="66"/>
      <c r="AS83" s="72"/>
    </row>
    <row r="84" spans="1:53" ht="26.25" customHeight="1" x14ac:dyDescent="0.25">
      <c r="A84" s="168" t="s">
        <v>53</v>
      </c>
      <c r="B84" s="82" t="s">
        <v>20</v>
      </c>
      <c r="C84" s="83" t="e">
        <f>C83/(TRUNC(C83,C81))&amp;":"&amp;C81/TRUNC(C83,C81)</f>
        <v>#DIV/0!</v>
      </c>
      <c r="D84" s="75"/>
      <c r="E84" s="169" t="s">
        <v>54</v>
      </c>
      <c r="F84" s="84" t="s">
        <v>20</v>
      </c>
      <c r="G84" s="83" t="e">
        <f>G83/(TRUNC(G83,G81))&amp;":"&amp;G81/TRUNC(G83,G81)</f>
        <v>#DIV/0!</v>
      </c>
      <c r="H84" s="66"/>
      <c r="I84" s="72"/>
      <c r="J84" s="168" t="s">
        <v>53</v>
      </c>
      <c r="K84" s="82" t="s">
        <v>20</v>
      </c>
      <c r="L84" s="83" t="e">
        <f>L83/(TRUNC(L83,L81))&amp;":"&amp;L81/TRUNC(L83,L81)</f>
        <v>#DIV/0!</v>
      </c>
      <c r="M84" s="75"/>
      <c r="N84" s="169" t="s">
        <v>54</v>
      </c>
      <c r="O84" s="84" t="s">
        <v>20</v>
      </c>
      <c r="P84" s="83" t="e">
        <f>P83/(TRUNC(P83,P81))&amp;":"&amp;P81/TRUNC(P83,P81)</f>
        <v>#DIV/0!</v>
      </c>
      <c r="Q84" s="66"/>
      <c r="R84" s="72"/>
      <c r="S84" s="168" t="s">
        <v>53</v>
      </c>
      <c r="T84" s="82" t="s">
        <v>20</v>
      </c>
      <c r="U84" s="83" t="e">
        <f>U83/(TRUNC(U83,U81))&amp;":"&amp;U81/TRUNC(U83,U81)</f>
        <v>#DIV/0!</v>
      </c>
      <c r="V84" s="75"/>
      <c r="W84" s="169" t="s">
        <v>54</v>
      </c>
      <c r="X84" s="84" t="s">
        <v>20</v>
      </c>
      <c r="Y84" s="83" t="e">
        <f>Y83/(TRUNC(Y83,Y81))&amp;":"&amp;Y81/TRUNC(Y83,Y81)</f>
        <v>#DIV/0!</v>
      </c>
      <c r="Z84" s="66"/>
      <c r="AA84" s="72"/>
      <c r="AB84" s="168" t="s">
        <v>53</v>
      </c>
      <c r="AC84" s="82" t="s">
        <v>20</v>
      </c>
      <c r="AD84" s="83" t="e">
        <f>AD83/(TRUNC(AD83,AD81))&amp;":"&amp;AD81/TRUNC(AD83,AD81)</f>
        <v>#DIV/0!</v>
      </c>
      <c r="AE84" s="75"/>
      <c r="AF84" s="169" t="s">
        <v>54</v>
      </c>
      <c r="AG84" s="84" t="s">
        <v>20</v>
      </c>
      <c r="AH84" s="83" t="e">
        <f>AH83/(TRUNC(AH83,AH81))&amp;":"&amp;AH81/TRUNC(AH83,AH81)</f>
        <v>#DIV/0!</v>
      </c>
      <c r="AI84" s="66"/>
      <c r="AJ84" s="72"/>
      <c r="AK84" s="168" t="s">
        <v>53</v>
      </c>
      <c r="AL84" s="82" t="s">
        <v>20</v>
      </c>
      <c r="AM84" s="83" t="e">
        <f>AM83/(TRUNC(AM83,AM81))&amp;":"&amp;AM81/TRUNC(AM83,AM81)</f>
        <v>#DIV/0!</v>
      </c>
      <c r="AN84" s="75"/>
      <c r="AO84" s="169" t="s">
        <v>54</v>
      </c>
      <c r="AP84" s="84" t="s">
        <v>20</v>
      </c>
      <c r="AQ84" s="83" t="e">
        <f>AQ83/(TRUNC(AQ83,AQ81))&amp;":"&amp;AQ81/TRUNC(AQ83,AQ81)</f>
        <v>#DIV/0!</v>
      </c>
      <c r="AR84" s="66"/>
      <c r="AS84" s="72"/>
    </row>
    <row r="85" spans="1:53" ht="25.5" customHeight="1" x14ac:dyDescent="0.25">
      <c r="A85" s="158"/>
      <c r="B85" s="84" t="s">
        <v>21</v>
      </c>
      <c r="C85" s="85" t="e">
        <f>C83/(TRUNC(C83,C82))&amp;":"&amp;C82/TRUNC(C83,C82)</f>
        <v>#DIV/0!</v>
      </c>
      <c r="D85" s="75"/>
      <c r="E85" s="167"/>
      <c r="F85" s="84" t="s">
        <v>21</v>
      </c>
      <c r="G85" s="85" t="e">
        <f>G83/(TRUNC(G83,G82))&amp;":"&amp;G82/TRUNC(G83,G82)</f>
        <v>#DIV/0!</v>
      </c>
      <c r="H85" s="66"/>
      <c r="I85" s="72"/>
      <c r="J85" s="158"/>
      <c r="K85" s="84" t="s">
        <v>21</v>
      </c>
      <c r="L85" s="85" t="e">
        <f>L83/(TRUNC(L83,L82))&amp;":"&amp;L82/TRUNC(L83,L82)</f>
        <v>#DIV/0!</v>
      </c>
      <c r="M85" s="75"/>
      <c r="N85" s="167"/>
      <c r="O85" s="84" t="s">
        <v>21</v>
      </c>
      <c r="P85" s="85" t="e">
        <f>P83/(TRUNC(P83,P82))&amp;":"&amp;P82/TRUNC(P83,P82)</f>
        <v>#DIV/0!</v>
      </c>
      <c r="Q85" s="66"/>
      <c r="R85" s="72"/>
      <c r="S85" s="158"/>
      <c r="T85" s="84" t="s">
        <v>21</v>
      </c>
      <c r="U85" s="85" t="e">
        <f>U83/(TRUNC(U83,U82))&amp;":"&amp;U82/TRUNC(U83,U82)</f>
        <v>#DIV/0!</v>
      </c>
      <c r="V85" s="75"/>
      <c r="W85" s="167"/>
      <c r="X85" s="84" t="s">
        <v>21</v>
      </c>
      <c r="Y85" s="85" t="e">
        <f>Y83/(TRUNC(Y83,Y82))&amp;":"&amp;Y82/TRUNC(Y83,Y82)</f>
        <v>#DIV/0!</v>
      </c>
      <c r="Z85" s="66"/>
      <c r="AA85" s="72"/>
      <c r="AB85" s="158"/>
      <c r="AC85" s="84" t="s">
        <v>21</v>
      </c>
      <c r="AD85" s="85" t="e">
        <f>AD83/(TRUNC(AD83,AD82))&amp;":"&amp;AD82/TRUNC(AD83,AD82)</f>
        <v>#DIV/0!</v>
      </c>
      <c r="AE85" s="75"/>
      <c r="AF85" s="167"/>
      <c r="AG85" s="84" t="s">
        <v>21</v>
      </c>
      <c r="AH85" s="85" t="e">
        <f>AH83/(TRUNC(AH83,AH82))&amp;":"&amp;AH82/TRUNC(AH83,AH82)</f>
        <v>#DIV/0!</v>
      </c>
      <c r="AI85" s="66"/>
      <c r="AJ85" s="72"/>
      <c r="AK85" s="158"/>
      <c r="AL85" s="84" t="s">
        <v>21</v>
      </c>
      <c r="AM85" s="85" t="e">
        <f>AM83/(TRUNC(AM83,AM82))&amp;":"&amp;AM82/TRUNC(AM83,AM82)</f>
        <v>#DIV/0!</v>
      </c>
      <c r="AN85" s="75"/>
      <c r="AO85" s="167"/>
      <c r="AP85" s="84" t="s">
        <v>21</v>
      </c>
      <c r="AQ85" s="85" t="e">
        <f>AQ83/(TRUNC(AQ83,AQ82))&amp;":"&amp;AQ82/TRUNC(AQ83,AQ82)</f>
        <v>#DIV/0!</v>
      </c>
      <c r="AR85" s="66"/>
      <c r="AS85" s="72"/>
    </row>
    <row r="86" spans="1:53" ht="13.2" x14ac:dyDescent="0.25">
      <c r="A86" s="62"/>
      <c r="B86" s="62"/>
      <c r="C86" s="65"/>
      <c r="D86" s="65"/>
      <c r="E86" s="62"/>
      <c r="F86" s="62"/>
      <c r="G86" s="65"/>
      <c r="H86" s="66"/>
      <c r="I86" s="67"/>
      <c r="J86" s="62"/>
      <c r="K86" s="62"/>
      <c r="L86" s="65"/>
      <c r="M86" s="65"/>
      <c r="N86" s="62"/>
      <c r="O86" s="62"/>
      <c r="P86" s="65"/>
      <c r="Q86" s="66"/>
      <c r="R86" s="67"/>
      <c r="S86" s="62"/>
      <c r="T86" s="62"/>
      <c r="U86" s="65"/>
      <c r="V86" s="65"/>
      <c r="W86" s="62"/>
      <c r="X86" s="62"/>
      <c r="Y86" s="65"/>
      <c r="Z86" s="66"/>
      <c r="AA86" s="67"/>
      <c r="AB86" s="62"/>
      <c r="AC86" s="62"/>
      <c r="AD86" s="65"/>
      <c r="AE86" s="65"/>
      <c r="AF86" s="62"/>
      <c r="AG86" s="62"/>
      <c r="AH86" s="65"/>
      <c r="AI86" s="66"/>
      <c r="AJ86" s="67"/>
      <c r="AK86" s="62"/>
      <c r="AL86" s="62"/>
      <c r="AM86" s="65"/>
      <c r="AN86" s="65"/>
      <c r="AO86" s="62"/>
      <c r="AP86" s="62"/>
      <c r="AQ86" s="65"/>
      <c r="AR86" s="66"/>
      <c r="AS86" s="67"/>
    </row>
    <row r="87" spans="1:53" ht="13.2" x14ac:dyDescent="0.25">
      <c r="A87" s="64"/>
      <c r="B87" s="64"/>
      <c r="C87" s="86"/>
      <c r="D87" s="65"/>
      <c r="E87" s="64"/>
      <c r="F87" s="64"/>
      <c r="G87" s="86"/>
      <c r="H87" s="66"/>
      <c r="I87" s="67"/>
      <c r="J87" s="64"/>
      <c r="K87" s="64"/>
      <c r="L87" s="86"/>
      <c r="M87" s="65"/>
      <c r="N87" s="64"/>
      <c r="O87" s="64"/>
      <c r="P87" s="86"/>
      <c r="Q87" s="66"/>
      <c r="R87" s="67"/>
      <c r="S87" s="64"/>
      <c r="T87" s="64"/>
      <c r="U87" s="86"/>
      <c r="V87" s="65"/>
      <c r="W87" s="64"/>
      <c r="X87" s="64"/>
      <c r="Y87" s="86"/>
      <c r="Z87" s="66"/>
      <c r="AA87" s="67"/>
      <c r="AB87" s="64"/>
      <c r="AC87" s="64"/>
      <c r="AD87" s="86"/>
      <c r="AE87" s="65"/>
      <c r="AF87" s="64"/>
      <c r="AG87" s="64"/>
      <c r="AH87" s="86"/>
      <c r="AI87" s="66"/>
      <c r="AJ87" s="67"/>
      <c r="AK87" s="64"/>
      <c r="AL87" s="64"/>
      <c r="AM87" s="86"/>
      <c r="AN87" s="65"/>
      <c r="AO87" s="64"/>
      <c r="AP87" s="64"/>
      <c r="AQ87" s="86"/>
      <c r="AR87" s="66"/>
      <c r="AS87" s="67"/>
    </row>
    <row r="88" spans="1:53" ht="28.5" customHeight="1" x14ac:dyDescent="0.25">
      <c r="A88" s="179" t="s">
        <v>55</v>
      </c>
      <c r="B88" s="167"/>
      <c r="C88" s="76"/>
      <c r="D88" s="75"/>
      <c r="E88" s="182" t="s">
        <v>55</v>
      </c>
      <c r="F88" s="167"/>
      <c r="G88" s="76"/>
      <c r="H88" s="66"/>
      <c r="I88" s="72"/>
      <c r="J88" s="179" t="s">
        <v>55</v>
      </c>
      <c r="K88" s="167"/>
      <c r="L88" s="76"/>
      <c r="M88" s="75"/>
      <c r="N88" s="182" t="s">
        <v>55</v>
      </c>
      <c r="O88" s="167"/>
      <c r="P88" s="76"/>
      <c r="Q88" s="66"/>
      <c r="R88" s="72"/>
      <c r="S88" s="179" t="s">
        <v>55</v>
      </c>
      <c r="T88" s="167"/>
      <c r="U88" s="76"/>
      <c r="V88" s="75"/>
      <c r="W88" s="182" t="s">
        <v>55</v>
      </c>
      <c r="X88" s="167"/>
      <c r="Y88" s="76"/>
      <c r="Z88" s="66"/>
      <c r="AA88" s="72"/>
      <c r="AB88" s="179" t="s">
        <v>55</v>
      </c>
      <c r="AC88" s="167"/>
      <c r="AD88" s="76"/>
      <c r="AE88" s="75"/>
      <c r="AF88" s="182" t="s">
        <v>55</v>
      </c>
      <c r="AG88" s="167"/>
      <c r="AH88" s="76"/>
      <c r="AI88" s="66"/>
      <c r="AJ88" s="72"/>
      <c r="AK88" s="179" t="s">
        <v>55</v>
      </c>
      <c r="AL88" s="167"/>
      <c r="AM88" s="76"/>
      <c r="AN88" s="75"/>
      <c r="AO88" s="182" t="s">
        <v>55</v>
      </c>
      <c r="AP88" s="167"/>
      <c r="AQ88" s="76"/>
      <c r="AR88" s="66"/>
      <c r="AS88" s="72"/>
    </row>
    <row r="89" spans="1:53" ht="41.4" x14ac:dyDescent="0.25">
      <c r="A89" s="87" t="s">
        <v>56</v>
      </c>
      <c r="B89" s="88">
        <v>0.02</v>
      </c>
      <c r="C89" s="89">
        <f>SUM(C88/100)*2</f>
        <v>0</v>
      </c>
      <c r="D89" s="75"/>
      <c r="E89" s="90" t="s">
        <v>56</v>
      </c>
      <c r="F89" s="91">
        <v>0.02</v>
      </c>
      <c r="G89" s="89">
        <f>SUM(G88/100)*2</f>
        <v>0</v>
      </c>
      <c r="H89" s="66"/>
      <c r="I89" s="92"/>
      <c r="J89" s="87" t="s">
        <v>56</v>
      </c>
      <c r="K89" s="88">
        <v>0.02</v>
      </c>
      <c r="L89" s="89">
        <f>SUM(L88/100)*2</f>
        <v>0</v>
      </c>
      <c r="M89" s="75"/>
      <c r="N89" s="90" t="s">
        <v>56</v>
      </c>
      <c r="O89" s="91">
        <v>0.02</v>
      </c>
      <c r="P89" s="89">
        <f>SUM(P88/100)*2</f>
        <v>0</v>
      </c>
      <c r="Q89" s="66"/>
      <c r="R89" s="92"/>
      <c r="S89" s="87" t="s">
        <v>56</v>
      </c>
      <c r="T89" s="88">
        <v>0.02</v>
      </c>
      <c r="U89" s="89">
        <f>SUM(U88/100)*2</f>
        <v>0</v>
      </c>
      <c r="V89" s="75"/>
      <c r="W89" s="90" t="s">
        <v>56</v>
      </c>
      <c r="X89" s="91">
        <v>0.02</v>
      </c>
      <c r="Y89" s="89">
        <f>SUM(Y88/100)*2</f>
        <v>0</v>
      </c>
      <c r="Z89" s="66"/>
      <c r="AA89" s="92"/>
      <c r="AB89" s="87" t="s">
        <v>56</v>
      </c>
      <c r="AC89" s="88">
        <v>0.02</v>
      </c>
      <c r="AD89" s="89">
        <f>SUM(AD88/100)*2</f>
        <v>0</v>
      </c>
      <c r="AE89" s="75"/>
      <c r="AF89" s="90" t="s">
        <v>56</v>
      </c>
      <c r="AG89" s="91">
        <v>0.02</v>
      </c>
      <c r="AH89" s="89">
        <f>SUM(AH88/100)*2</f>
        <v>0</v>
      </c>
      <c r="AI89" s="66"/>
      <c r="AJ89" s="92"/>
      <c r="AK89" s="87" t="s">
        <v>56</v>
      </c>
      <c r="AL89" s="88">
        <v>0.02</v>
      </c>
      <c r="AM89" s="89">
        <f>SUM(AM88/100)*2</f>
        <v>0</v>
      </c>
      <c r="AN89" s="75"/>
      <c r="AO89" s="90" t="s">
        <v>56</v>
      </c>
      <c r="AP89" s="91">
        <v>0.02</v>
      </c>
      <c r="AQ89" s="89">
        <f>SUM(AQ88/100)*2</f>
        <v>0</v>
      </c>
      <c r="AR89" s="66"/>
      <c r="AS89" s="92"/>
      <c r="AT89" s="6"/>
      <c r="AU89" s="6"/>
      <c r="AV89" s="6"/>
      <c r="AW89" s="6"/>
      <c r="AX89" s="6"/>
      <c r="AY89" s="6"/>
      <c r="AZ89" s="6"/>
      <c r="BA89" s="6"/>
    </row>
    <row r="90" spans="1:53" ht="13.2" x14ac:dyDescent="0.25">
      <c r="A90" s="175" t="s">
        <v>57</v>
      </c>
      <c r="B90" s="167"/>
      <c r="C90" s="93" t="e">
        <f>INT(C89/C83)</f>
        <v>#DIV/0!</v>
      </c>
      <c r="D90" s="94"/>
      <c r="E90" s="196" t="s">
        <v>57</v>
      </c>
      <c r="F90" s="197"/>
      <c r="G90" s="93" t="e">
        <f>INT(G89/G83)</f>
        <v>#DIV/0!</v>
      </c>
      <c r="H90" s="66"/>
      <c r="I90" s="72"/>
      <c r="J90" s="175" t="s">
        <v>57</v>
      </c>
      <c r="K90" s="167"/>
      <c r="L90" s="93" t="e">
        <f>INT(L89/L83)</f>
        <v>#DIV/0!</v>
      </c>
      <c r="M90" s="94"/>
      <c r="N90" s="196" t="s">
        <v>57</v>
      </c>
      <c r="O90" s="197"/>
      <c r="P90" s="93" t="e">
        <f>INT(P89/P83)</f>
        <v>#DIV/0!</v>
      </c>
      <c r="Q90" s="66"/>
      <c r="R90" s="72"/>
      <c r="S90" s="175" t="s">
        <v>57</v>
      </c>
      <c r="T90" s="167"/>
      <c r="U90" s="93" t="e">
        <f>INT(U89/U83)</f>
        <v>#DIV/0!</v>
      </c>
      <c r="V90" s="94"/>
      <c r="W90" s="196" t="s">
        <v>57</v>
      </c>
      <c r="X90" s="197"/>
      <c r="Y90" s="93" t="e">
        <f>INT(Y89/Y83)</f>
        <v>#DIV/0!</v>
      </c>
      <c r="Z90" s="66"/>
      <c r="AA90" s="72"/>
      <c r="AB90" s="175" t="s">
        <v>57</v>
      </c>
      <c r="AC90" s="167"/>
      <c r="AD90" s="93" t="e">
        <f>INT(AD89/AD83)</f>
        <v>#DIV/0!</v>
      </c>
      <c r="AE90" s="94"/>
      <c r="AF90" s="196" t="s">
        <v>57</v>
      </c>
      <c r="AG90" s="197"/>
      <c r="AH90" s="93" t="e">
        <f>INT(AH89/AH83)</f>
        <v>#DIV/0!</v>
      </c>
      <c r="AI90" s="66"/>
      <c r="AJ90" s="72"/>
      <c r="AK90" s="175" t="s">
        <v>57</v>
      </c>
      <c r="AL90" s="167"/>
      <c r="AM90" s="93" t="e">
        <f>INT(AM89/AM83)</f>
        <v>#DIV/0!</v>
      </c>
      <c r="AN90" s="94"/>
      <c r="AO90" s="196" t="s">
        <v>57</v>
      </c>
      <c r="AP90" s="197"/>
      <c r="AQ90" s="93" t="e">
        <f>INT(AQ89/AQ83)</f>
        <v>#DIV/0!</v>
      </c>
      <c r="AR90" s="66"/>
      <c r="AS90" s="72"/>
    </row>
    <row r="91" spans="1:53" ht="13.2" x14ac:dyDescent="0.25">
      <c r="A91" s="64"/>
      <c r="B91" s="64"/>
      <c r="C91" s="86"/>
      <c r="D91" s="65"/>
      <c r="E91" s="64"/>
      <c r="F91" s="64"/>
      <c r="G91" s="86"/>
      <c r="H91" s="66"/>
      <c r="I91" s="67"/>
      <c r="J91" s="64"/>
      <c r="K91" s="64"/>
      <c r="L91" s="86"/>
      <c r="M91" s="65"/>
      <c r="N91" s="64"/>
      <c r="O91" s="64"/>
      <c r="P91" s="86"/>
      <c r="Q91" s="66"/>
      <c r="R91" s="67"/>
      <c r="S91" s="64"/>
      <c r="T91" s="64"/>
      <c r="U91" s="86"/>
      <c r="V91" s="65"/>
      <c r="W91" s="64"/>
      <c r="X91" s="64"/>
      <c r="Y91" s="86"/>
      <c r="Z91" s="66"/>
      <c r="AA91" s="67"/>
      <c r="AB91" s="64"/>
      <c r="AC91" s="64"/>
      <c r="AD91" s="86"/>
      <c r="AE91" s="65"/>
      <c r="AF91" s="64"/>
      <c r="AG91" s="64"/>
      <c r="AH91" s="86"/>
      <c r="AI91" s="66"/>
      <c r="AJ91" s="67"/>
      <c r="AK91" s="64"/>
      <c r="AL91" s="64"/>
      <c r="AM91" s="86"/>
      <c r="AN91" s="65"/>
      <c r="AO91" s="64"/>
      <c r="AP91" s="64"/>
      <c r="AQ91" s="86"/>
      <c r="AR91" s="66"/>
      <c r="AS91" s="67"/>
    </row>
    <row r="92" spans="1:53" ht="13.8" x14ac:dyDescent="0.25">
      <c r="A92" s="179" t="s">
        <v>58</v>
      </c>
      <c r="B92" s="167"/>
      <c r="C92" s="95" t="e">
        <f>SUM(C90*C77)</f>
        <v>#DIV/0!</v>
      </c>
      <c r="D92" s="96"/>
      <c r="E92" s="182" t="s">
        <v>58</v>
      </c>
      <c r="F92" s="167"/>
      <c r="G92" s="95" t="e">
        <f>SUM(G90*G77)</f>
        <v>#DIV/0!</v>
      </c>
      <c r="H92" s="97"/>
      <c r="I92" s="72"/>
      <c r="J92" s="179" t="s">
        <v>58</v>
      </c>
      <c r="K92" s="167"/>
      <c r="L92" s="95" t="e">
        <f>SUM(L90*L77)</f>
        <v>#DIV/0!</v>
      </c>
      <c r="M92" s="96"/>
      <c r="N92" s="182" t="s">
        <v>58</v>
      </c>
      <c r="O92" s="167"/>
      <c r="P92" s="95" t="e">
        <f>SUM(P90*P77)</f>
        <v>#DIV/0!</v>
      </c>
      <c r="Q92" s="97"/>
      <c r="R92" s="72"/>
      <c r="S92" s="179" t="s">
        <v>58</v>
      </c>
      <c r="T92" s="167"/>
      <c r="U92" s="95" t="e">
        <f>SUM(U90*U77)</f>
        <v>#DIV/0!</v>
      </c>
      <c r="V92" s="96"/>
      <c r="W92" s="182" t="s">
        <v>58</v>
      </c>
      <c r="X92" s="167"/>
      <c r="Y92" s="95" t="e">
        <f>SUM(Y90*Y77)</f>
        <v>#DIV/0!</v>
      </c>
      <c r="Z92" s="97"/>
      <c r="AA92" s="72"/>
      <c r="AB92" s="179" t="s">
        <v>58</v>
      </c>
      <c r="AC92" s="167"/>
      <c r="AD92" s="95" t="e">
        <f>SUM(AD90*AD77)</f>
        <v>#DIV/0!</v>
      </c>
      <c r="AE92" s="96"/>
      <c r="AF92" s="182" t="s">
        <v>58</v>
      </c>
      <c r="AG92" s="167"/>
      <c r="AH92" s="95" t="e">
        <f>SUM(AH90*AH77)</f>
        <v>#DIV/0!</v>
      </c>
      <c r="AI92" s="97"/>
      <c r="AJ92" s="72"/>
      <c r="AK92" s="179" t="s">
        <v>58</v>
      </c>
      <c r="AL92" s="167"/>
      <c r="AM92" s="95" t="e">
        <f>SUM(AM90*AM77)</f>
        <v>#DIV/0!</v>
      </c>
      <c r="AN92" s="96"/>
      <c r="AO92" s="182" t="s">
        <v>58</v>
      </c>
      <c r="AP92" s="167"/>
      <c r="AQ92" s="95" t="e">
        <f>SUM(AQ90*AQ77)</f>
        <v>#DIV/0!</v>
      </c>
      <c r="AR92" s="97"/>
      <c r="AS92" s="72"/>
    </row>
    <row r="93" spans="1:53" ht="13.2" x14ac:dyDescent="0.25">
      <c r="A93" s="64"/>
      <c r="B93" s="64"/>
      <c r="C93" s="86"/>
      <c r="D93" s="65"/>
      <c r="E93" s="64"/>
      <c r="F93" s="64"/>
      <c r="G93" s="86"/>
      <c r="H93" s="66"/>
      <c r="I93" s="67"/>
      <c r="J93" s="64"/>
      <c r="K93" s="64"/>
      <c r="L93" s="86"/>
      <c r="M93" s="65"/>
      <c r="N93" s="64"/>
      <c r="O93" s="64"/>
      <c r="P93" s="86"/>
      <c r="Q93" s="66"/>
      <c r="R93" s="67"/>
      <c r="S93" s="64"/>
      <c r="T93" s="64"/>
      <c r="U93" s="86"/>
      <c r="V93" s="65"/>
      <c r="W93" s="64"/>
      <c r="X93" s="64"/>
      <c r="Y93" s="86"/>
      <c r="Z93" s="66"/>
      <c r="AA93" s="67"/>
      <c r="AB93" s="64"/>
      <c r="AC93" s="64"/>
      <c r="AD93" s="86"/>
      <c r="AE93" s="65"/>
      <c r="AF93" s="64"/>
      <c r="AG93" s="64"/>
      <c r="AH93" s="86"/>
      <c r="AI93" s="66"/>
      <c r="AJ93" s="67"/>
      <c r="AK93" s="64"/>
      <c r="AL93" s="64"/>
      <c r="AM93" s="86"/>
      <c r="AN93" s="65"/>
      <c r="AO93" s="64"/>
      <c r="AP93" s="64"/>
      <c r="AQ93" s="86"/>
      <c r="AR93" s="66"/>
      <c r="AS93" s="67"/>
    </row>
    <row r="94" spans="1:53" ht="13.2" x14ac:dyDescent="0.25">
      <c r="A94" s="175" t="s">
        <v>59</v>
      </c>
      <c r="B94" s="167"/>
      <c r="C94" s="98"/>
      <c r="D94" s="75"/>
      <c r="E94" s="173" t="s">
        <v>59</v>
      </c>
      <c r="F94" s="167"/>
      <c r="G94" s="98"/>
      <c r="H94" s="66"/>
      <c r="I94" s="72"/>
      <c r="J94" s="175" t="s">
        <v>59</v>
      </c>
      <c r="K94" s="167"/>
      <c r="L94" s="98"/>
      <c r="M94" s="75"/>
      <c r="N94" s="173" t="s">
        <v>59</v>
      </c>
      <c r="O94" s="167"/>
      <c r="P94" s="98"/>
      <c r="Q94" s="66"/>
      <c r="R94" s="72"/>
      <c r="S94" s="175" t="s">
        <v>59</v>
      </c>
      <c r="T94" s="167"/>
      <c r="U94" s="98"/>
      <c r="V94" s="75"/>
      <c r="W94" s="173" t="s">
        <v>59</v>
      </c>
      <c r="X94" s="167"/>
      <c r="Y94" s="98"/>
      <c r="Z94" s="66"/>
      <c r="AA94" s="72"/>
      <c r="AB94" s="175" t="s">
        <v>59</v>
      </c>
      <c r="AC94" s="167"/>
      <c r="AD94" s="98"/>
      <c r="AE94" s="75"/>
      <c r="AF94" s="173" t="s">
        <v>59</v>
      </c>
      <c r="AG94" s="167"/>
      <c r="AH94" s="98"/>
      <c r="AI94" s="66"/>
      <c r="AJ94" s="72"/>
      <c r="AK94" s="175" t="s">
        <v>59</v>
      </c>
      <c r="AL94" s="167"/>
      <c r="AM94" s="98"/>
      <c r="AN94" s="75"/>
      <c r="AO94" s="173" t="s">
        <v>59</v>
      </c>
      <c r="AP94" s="167"/>
      <c r="AQ94" s="98"/>
      <c r="AR94" s="66"/>
      <c r="AS94" s="72"/>
    </row>
    <row r="95" spans="1:53" ht="13.2" x14ac:dyDescent="0.25">
      <c r="A95" s="64"/>
      <c r="B95" s="64"/>
      <c r="C95" s="86"/>
      <c r="D95" s="62"/>
      <c r="E95" s="64"/>
      <c r="F95" s="64"/>
      <c r="G95" s="86"/>
      <c r="H95" s="66"/>
      <c r="I95" s="67"/>
      <c r="J95" s="64"/>
      <c r="K95" s="64"/>
      <c r="L95" s="86"/>
      <c r="M95" s="62"/>
      <c r="N95" s="64"/>
      <c r="O95" s="64"/>
      <c r="P95" s="86"/>
      <c r="Q95" s="66"/>
      <c r="R95" s="67"/>
      <c r="S95" s="64"/>
      <c r="T95" s="64"/>
      <c r="U95" s="86"/>
      <c r="V95" s="62"/>
      <c r="W95" s="64"/>
      <c r="X95" s="64"/>
      <c r="Y95" s="86"/>
      <c r="Z95" s="66"/>
      <c r="AA95" s="67"/>
      <c r="AB95" s="64"/>
      <c r="AC95" s="64"/>
      <c r="AD95" s="86"/>
      <c r="AE95" s="62"/>
      <c r="AF95" s="64"/>
      <c r="AG95" s="64"/>
      <c r="AH95" s="86"/>
      <c r="AI95" s="66"/>
      <c r="AJ95" s="67"/>
      <c r="AK95" s="64"/>
      <c r="AL95" s="64"/>
      <c r="AM95" s="86"/>
      <c r="AN95" s="62"/>
      <c r="AO95" s="64"/>
      <c r="AP95" s="64"/>
      <c r="AQ95" s="86"/>
      <c r="AR95" s="66"/>
      <c r="AS95" s="67"/>
    </row>
    <row r="96" spans="1:53" ht="13.8" x14ac:dyDescent="0.25">
      <c r="A96" s="179" t="s">
        <v>60</v>
      </c>
      <c r="B96" s="167"/>
      <c r="C96" s="99" t="e">
        <f>SUM((C90)-(C94/C77))*(C77)</f>
        <v>#DIV/0!</v>
      </c>
      <c r="D96" s="75"/>
      <c r="E96" s="182" t="s">
        <v>60</v>
      </c>
      <c r="F96" s="167"/>
      <c r="G96" s="99" t="e">
        <f>SUM((G90)-(G94/G77))*(G77)</f>
        <v>#DIV/0!</v>
      </c>
      <c r="H96" s="66"/>
      <c r="I96" s="100"/>
      <c r="J96" s="179" t="s">
        <v>60</v>
      </c>
      <c r="K96" s="167"/>
      <c r="L96" s="99" t="e">
        <f>SUM((L90)-(L94/L77))*(L77)</f>
        <v>#DIV/0!</v>
      </c>
      <c r="M96" s="75"/>
      <c r="N96" s="182" t="s">
        <v>60</v>
      </c>
      <c r="O96" s="167"/>
      <c r="P96" s="99" t="e">
        <f>SUM((P90)-(P94/P77))*(P77)</f>
        <v>#DIV/0!</v>
      </c>
      <c r="Q96" s="66"/>
      <c r="R96" s="100"/>
      <c r="S96" s="179" t="s">
        <v>60</v>
      </c>
      <c r="T96" s="167"/>
      <c r="U96" s="99" t="e">
        <f>SUM((U90)-(U94/U77))*(U77)</f>
        <v>#DIV/0!</v>
      </c>
      <c r="V96" s="75"/>
      <c r="W96" s="182" t="s">
        <v>60</v>
      </c>
      <c r="X96" s="167"/>
      <c r="Y96" s="99" t="e">
        <f>SUM((Y90)-(Y94/Y77))*(Y77)</f>
        <v>#DIV/0!</v>
      </c>
      <c r="Z96" s="66"/>
      <c r="AA96" s="100"/>
      <c r="AB96" s="179" t="s">
        <v>60</v>
      </c>
      <c r="AC96" s="167"/>
      <c r="AD96" s="99" t="e">
        <f>SUM((AD90)-(AD94/AD77))*(AD77)</f>
        <v>#DIV/0!</v>
      </c>
      <c r="AE96" s="75"/>
      <c r="AF96" s="182" t="s">
        <v>60</v>
      </c>
      <c r="AG96" s="167"/>
      <c r="AH96" s="99" t="e">
        <f>SUM((AH90)-(AH94/AH77))*(AH77)</f>
        <v>#DIV/0!</v>
      </c>
      <c r="AI96" s="66"/>
      <c r="AJ96" s="100"/>
      <c r="AK96" s="179" t="s">
        <v>60</v>
      </c>
      <c r="AL96" s="167"/>
      <c r="AM96" s="99" t="e">
        <f>SUM((AM90)-(AM94/AM77))*(AM77)</f>
        <v>#DIV/0!</v>
      </c>
      <c r="AN96" s="75"/>
      <c r="AO96" s="182" t="s">
        <v>60</v>
      </c>
      <c r="AP96" s="167"/>
      <c r="AQ96" s="99" t="e">
        <f>SUM((AQ90)-(AQ94/AQ77))*(AQ77)</f>
        <v>#DIV/0!</v>
      </c>
      <c r="AR96" s="66"/>
      <c r="AS96" s="100"/>
    </row>
    <row r="97" spans="1:45" ht="13.2" x14ac:dyDescent="0.25">
      <c r="A97" s="181" t="s">
        <v>61</v>
      </c>
      <c r="B97" s="167"/>
      <c r="C97" s="101"/>
      <c r="D97" s="75"/>
      <c r="E97" s="184" t="s">
        <v>61</v>
      </c>
      <c r="F97" s="167"/>
      <c r="G97" s="101"/>
      <c r="H97" s="66"/>
      <c r="I97" s="102"/>
      <c r="J97" s="181" t="s">
        <v>61</v>
      </c>
      <c r="K97" s="167"/>
      <c r="L97" s="101"/>
      <c r="M97" s="75"/>
      <c r="N97" s="184" t="s">
        <v>61</v>
      </c>
      <c r="O97" s="167"/>
      <c r="P97" s="101"/>
      <c r="Q97" s="66"/>
      <c r="R97" s="102"/>
      <c r="S97" s="181" t="s">
        <v>61</v>
      </c>
      <c r="T97" s="167"/>
      <c r="U97" s="101"/>
      <c r="V97" s="75"/>
      <c r="W97" s="184" t="s">
        <v>61</v>
      </c>
      <c r="X97" s="167"/>
      <c r="Y97" s="101"/>
      <c r="Z97" s="66"/>
      <c r="AA97" s="102"/>
      <c r="AB97" s="181" t="s">
        <v>61</v>
      </c>
      <c r="AC97" s="167"/>
      <c r="AD97" s="101"/>
      <c r="AE97" s="75"/>
      <c r="AF97" s="184" t="s">
        <v>61</v>
      </c>
      <c r="AG97" s="167"/>
      <c r="AH97" s="101"/>
      <c r="AI97" s="66"/>
      <c r="AJ97" s="102"/>
      <c r="AK97" s="181" t="s">
        <v>61</v>
      </c>
      <c r="AL97" s="167"/>
      <c r="AM97" s="101"/>
      <c r="AN97" s="75"/>
      <c r="AO97" s="184" t="s">
        <v>61</v>
      </c>
      <c r="AP97" s="167"/>
      <c r="AQ97" s="101"/>
      <c r="AR97" s="66"/>
      <c r="AS97" s="102"/>
    </row>
    <row r="98" spans="1:45" ht="13.2" x14ac:dyDescent="0.25">
      <c r="A98" s="64"/>
      <c r="B98" s="103"/>
      <c r="C98" s="74"/>
      <c r="D98" s="65"/>
      <c r="E98" s="64"/>
      <c r="F98" s="103"/>
      <c r="G98" s="74"/>
      <c r="H98" s="66"/>
      <c r="I98" s="67"/>
      <c r="J98" s="64"/>
      <c r="K98" s="103"/>
      <c r="L98" s="74"/>
      <c r="M98" s="65"/>
      <c r="N98" s="64"/>
      <c r="O98" s="103"/>
      <c r="P98" s="74"/>
      <c r="Q98" s="66"/>
      <c r="R98" s="67"/>
      <c r="S98" s="64"/>
      <c r="T98" s="103"/>
      <c r="U98" s="74"/>
      <c r="V98" s="65"/>
      <c r="W98" s="64"/>
      <c r="X98" s="103"/>
      <c r="Y98" s="74"/>
      <c r="Z98" s="66"/>
      <c r="AA98" s="67"/>
      <c r="AB98" s="64"/>
      <c r="AC98" s="103"/>
      <c r="AD98" s="74"/>
      <c r="AE98" s="65"/>
      <c r="AF98" s="64"/>
      <c r="AG98" s="103"/>
      <c r="AH98" s="74"/>
      <c r="AI98" s="66"/>
      <c r="AJ98" s="67"/>
      <c r="AK98" s="64"/>
      <c r="AL98" s="103"/>
      <c r="AM98" s="74"/>
      <c r="AN98" s="65"/>
      <c r="AO98" s="64"/>
      <c r="AP98" s="103"/>
      <c r="AQ98" s="74"/>
      <c r="AR98" s="66"/>
      <c r="AS98" s="67"/>
    </row>
    <row r="99" spans="1:45" ht="13.8" x14ac:dyDescent="0.25">
      <c r="A99" s="175" t="s">
        <v>62</v>
      </c>
      <c r="B99" s="167"/>
      <c r="C99" s="104">
        <f>SUM(C94+C97)</f>
        <v>0</v>
      </c>
      <c r="D99" s="75"/>
      <c r="E99" s="173" t="s">
        <v>62</v>
      </c>
      <c r="F99" s="167"/>
      <c r="G99" s="104">
        <f>SUM(G94+G97)</f>
        <v>0</v>
      </c>
      <c r="H99" s="66"/>
      <c r="I99" s="72"/>
      <c r="J99" s="175" t="s">
        <v>62</v>
      </c>
      <c r="K99" s="167"/>
      <c r="L99" s="104">
        <f>SUM(L94+L97)</f>
        <v>0</v>
      </c>
      <c r="M99" s="75"/>
      <c r="N99" s="173" t="s">
        <v>62</v>
      </c>
      <c r="O99" s="167"/>
      <c r="P99" s="104">
        <f>SUM(P94+P97)</f>
        <v>0</v>
      </c>
      <c r="Q99" s="66"/>
      <c r="R99" s="72"/>
      <c r="S99" s="175" t="s">
        <v>62</v>
      </c>
      <c r="T99" s="167"/>
      <c r="U99" s="104">
        <f>SUM(U94+U97)</f>
        <v>0</v>
      </c>
      <c r="V99" s="75"/>
      <c r="W99" s="173" t="s">
        <v>62</v>
      </c>
      <c r="X99" s="167"/>
      <c r="Y99" s="104">
        <f>SUM(Y94+Y97)</f>
        <v>0</v>
      </c>
      <c r="Z99" s="66"/>
      <c r="AA99" s="72"/>
      <c r="AB99" s="175" t="s">
        <v>62</v>
      </c>
      <c r="AC99" s="167"/>
      <c r="AD99" s="104">
        <f>SUM(AD94+AD97)</f>
        <v>0</v>
      </c>
      <c r="AE99" s="75"/>
      <c r="AF99" s="173" t="s">
        <v>62</v>
      </c>
      <c r="AG99" s="167"/>
      <c r="AH99" s="104">
        <f>SUM(AH94+AH97)</f>
        <v>0</v>
      </c>
      <c r="AI99" s="66"/>
      <c r="AJ99" s="72"/>
      <c r="AK99" s="175" t="s">
        <v>62</v>
      </c>
      <c r="AL99" s="167"/>
      <c r="AM99" s="104">
        <f>SUM(AM94+AM97)</f>
        <v>0</v>
      </c>
      <c r="AN99" s="75"/>
      <c r="AO99" s="173" t="s">
        <v>62</v>
      </c>
      <c r="AP99" s="167"/>
      <c r="AQ99" s="104">
        <f>SUM(AQ94+AQ97)</f>
        <v>0</v>
      </c>
      <c r="AR99" s="66"/>
      <c r="AS99" s="72"/>
    </row>
    <row r="100" spans="1:45" ht="13.2" x14ac:dyDescent="0.25">
      <c r="A100" s="64"/>
      <c r="B100" s="103"/>
      <c r="C100" s="74"/>
      <c r="D100" s="63"/>
      <c r="E100" s="64"/>
      <c r="F100" s="103"/>
      <c r="G100" s="74"/>
      <c r="H100" s="105"/>
      <c r="I100" s="67"/>
      <c r="J100" s="64"/>
      <c r="K100" s="103"/>
      <c r="L100" s="74"/>
      <c r="M100" s="63"/>
      <c r="N100" s="64"/>
      <c r="O100" s="103"/>
      <c r="P100" s="74"/>
      <c r="Q100" s="105"/>
      <c r="R100" s="67"/>
      <c r="S100" s="64"/>
      <c r="T100" s="103"/>
      <c r="U100" s="74"/>
      <c r="V100" s="63"/>
      <c r="W100" s="64"/>
      <c r="X100" s="103"/>
      <c r="Y100" s="74"/>
      <c r="Z100" s="105"/>
      <c r="AA100" s="67"/>
      <c r="AB100" s="64"/>
      <c r="AC100" s="103"/>
      <c r="AD100" s="74"/>
      <c r="AE100" s="63"/>
      <c r="AF100" s="64"/>
      <c r="AG100" s="103"/>
      <c r="AH100" s="74"/>
      <c r="AI100" s="105"/>
      <c r="AJ100" s="67"/>
      <c r="AK100" s="64"/>
      <c r="AL100" s="103"/>
      <c r="AM100" s="74"/>
      <c r="AN100" s="63"/>
      <c r="AO100" s="64"/>
      <c r="AP100" s="103"/>
      <c r="AQ100" s="74"/>
      <c r="AR100" s="105"/>
      <c r="AS100" s="67"/>
    </row>
    <row r="101" spans="1:45" ht="13.8" x14ac:dyDescent="0.25">
      <c r="A101" s="175" t="s">
        <v>63</v>
      </c>
      <c r="B101" s="167"/>
      <c r="C101" s="106" t="e">
        <f>SUM(C99/C77)</f>
        <v>#DIV/0!</v>
      </c>
      <c r="D101" s="185" t="e">
        <f>IF(C101&lt;=C90,"Good","Bad")</f>
        <v>#DIV/0!</v>
      </c>
      <c r="E101" s="173" t="s">
        <v>63</v>
      </c>
      <c r="F101" s="167"/>
      <c r="G101" s="106" t="e">
        <f>SUM(G99/G77)</f>
        <v>#DIV/0!</v>
      </c>
      <c r="H101" s="185" t="e">
        <f>IF(G101&lt;=G90,"Good","Bad")</f>
        <v>#DIV/0!</v>
      </c>
      <c r="I101" s="72"/>
      <c r="J101" s="175" t="s">
        <v>63</v>
      </c>
      <c r="K101" s="167"/>
      <c r="L101" s="106" t="e">
        <f>SUM(L99/L77)</f>
        <v>#DIV/0!</v>
      </c>
      <c r="M101" s="185" t="e">
        <f>IF(L101&lt;=L90,"Good","Bad")</f>
        <v>#DIV/0!</v>
      </c>
      <c r="N101" s="173" t="s">
        <v>63</v>
      </c>
      <c r="O101" s="167"/>
      <c r="P101" s="106" t="e">
        <f>SUM(P99/P77)</f>
        <v>#DIV/0!</v>
      </c>
      <c r="Q101" s="185" t="e">
        <f>IF(P101&lt;=P90,"Good","Bad")</f>
        <v>#DIV/0!</v>
      </c>
      <c r="R101" s="72"/>
      <c r="S101" s="175" t="s">
        <v>63</v>
      </c>
      <c r="T101" s="167"/>
      <c r="U101" s="106" t="e">
        <f>SUM(U99/U77)</f>
        <v>#DIV/0!</v>
      </c>
      <c r="V101" s="185" t="e">
        <f>IF(U101&lt;=U90,"Good","Bad")</f>
        <v>#DIV/0!</v>
      </c>
      <c r="W101" s="173" t="s">
        <v>63</v>
      </c>
      <c r="X101" s="167"/>
      <c r="Y101" s="106" t="e">
        <f>SUM(Y99/Y77)</f>
        <v>#DIV/0!</v>
      </c>
      <c r="Z101" s="185" t="e">
        <f>IF(Y101&lt;=Y90,"Good","Bad")</f>
        <v>#DIV/0!</v>
      </c>
      <c r="AA101" s="72"/>
      <c r="AB101" s="175" t="s">
        <v>63</v>
      </c>
      <c r="AC101" s="167"/>
      <c r="AD101" s="106" t="e">
        <f>SUM(AD99/AD77)</f>
        <v>#DIV/0!</v>
      </c>
      <c r="AE101" s="185" t="e">
        <f>IF(AD101&lt;=AD90,"Good","Bad")</f>
        <v>#DIV/0!</v>
      </c>
      <c r="AF101" s="173" t="s">
        <v>63</v>
      </c>
      <c r="AG101" s="167"/>
      <c r="AH101" s="106" t="e">
        <f>SUM(AH99/AH77)</f>
        <v>#DIV/0!</v>
      </c>
      <c r="AI101" s="185" t="e">
        <f>IF(AH101&lt;=AH90,"Good","Bad")</f>
        <v>#DIV/0!</v>
      </c>
      <c r="AJ101" s="72"/>
      <c r="AK101" s="175" t="s">
        <v>63</v>
      </c>
      <c r="AL101" s="167"/>
      <c r="AM101" s="106" t="e">
        <f>SUM(AM99/AM77)</f>
        <v>#DIV/0!</v>
      </c>
      <c r="AN101" s="185" t="e">
        <f>IF(AM101&lt;=AM90,"Good","Bad")</f>
        <v>#DIV/0!</v>
      </c>
      <c r="AO101" s="173" t="s">
        <v>63</v>
      </c>
      <c r="AP101" s="167"/>
      <c r="AQ101" s="106" t="e">
        <f>SUM(AQ99/AQ77)</f>
        <v>#DIV/0!</v>
      </c>
      <c r="AR101" s="185" t="e">
        <f>IF(AQ101&lt;=AQ90,"Good","Bad")</f>
        <v>#DIV/0!</v>
      </c>
      <c r="AS101" s="72"/>
    </row>
    <row r="102" spans="1:45" ht="13.2" x14ac:dyDescent="0.25">
      <c r="A102" s="64"/>
      <c r="B102" s="103"/>
      <c r="C102" s="107"/>
      <c r="D102" s="167"/>
      <c r="E102" s="64"/>
      <c r="F102" s="103"/>
      <c r="G102" s="107"/>
      <c r="H102" s="167"/>
      <c r="I102" s="67"/>
      <c r="J102" s="64"/>
      <c r="K102" s="103"/>
      <c r="L102" s="107"/>
      <c r="M102" s="167"/>
      <c r="N102" s="64"/>
      <c r="O102" s="103"/>
      <c r="P102" s="107"/>
      <c r="Q102" s="167"/>
      <c r="R102" s="67"/>
      <c r="S102" s="64"/>
      <c r="T102" s="103"/>
      <c r="U102" s="107"/>
      <c r="V102" s="167"/>
      <c r="W102" s="64"/>
      <c r="X102" s="103"/>
      <c r="Y102" s="107"/>
      <c r="Z102" s="167"/>
      <c r="AA102" s="67"/>
      <c r="AB102" s="64"/>
      <c r="AC102" s="103"/>
      <c r="AD102" s="107"/>
      <c r="AE102" s="167"/>
      <c r="AF102" s="64"/>
      <c r="AG102" s="103"/>
      <c r="AH102" s="107"/>
      <c r="AI102" s="167"/>
      <c r="AJ102" s="67"/>
      <c r="AK102" s="64"/>
      <c r="AL102" s="103"/>
      <c r="AM102" s="107"/>
      <c r="AN102" s="167"/>
      <c r="AO102" s="64"/>
      <c r="AP102" s="103"/>
      <c r="AQ102" s="107"/>
      <c r="AR102" s="167"/>
      <c r="AS102" s="67"/>
    </row>
    <row r="103" spans="1:45" ht="13.8" x14ac:dyDescent="0.25">
      <c r="A103" s="179" t="s">
        <v>64</v>
      </c>
      <c r="B103" s="167"/>
      <c r="C103" s="108" t="e">
        <f>C101*C83</f>
        <v>#DIV/0!</v>
      </c>
      <c r="D103" s="71"/>
      <c r="E103" s="182" t="s">
        <v>64</v>
      </c>
      <c r="F103" s="167"/>
      <c r="G103" s="108" t="e">
        <f>G101*G83</f>
        <v>#DIV/0!</v>
      </c>
      <c r="H103" s="109"/>
      <c r="I103" s="72"/>
      <c r="J103" s="179" t="s">
        <v>64</v>
      </c>
      <c r="K103" s="167"/>
      <c r="L103" s="108" t="e">
        <f>L101*L83</f>
        <v>#DIV/0!</v>
      </c>
      <c r="M103" s="71"/>
      <c r="N103" s="182" t="s">
        <v>64</v>
      </c>
      <c r="O103" s="167"/>
      <c r="P103" s="108" t="e">
        <f>P101*P83</f>
        <v>#DIV/0!</v>
      </c>
      <c r="Q103" s="109"/>
      <c r="R103" s="72"/>
      <c r="S103" s="179" t="s">
        <v>64</v>
      </c>
      <c r="T103" s="167"/>
      <c r="U103" s="108" t="e">
        <f>U101*U83</f>
        <v>#DIV/0!</v>
      </c>
      <c r="V103" s="71"/>
      <c r="W103" s="182" t="s">
        <v>64</v>
      </c>
      <c r="X103" s="167"/>
      <c r="Y103" s="108" t="e">
        <f>Y101*Y83</f>
        <v>#DIV/0!</v>
      </c>
      <c r="Z103" s="109"/>
      <c r="AA103" s="72"/>
      <c r="AB103" s="179" t="s">
        <v>64</v>
      </c>
      <c r="AC103" s="167"/>
      <c r="AD103" s="108" t="e">
        <f>AD101*AD83</f>
        <v>#DIV/0!</v>
      </c>
      <c r="AE103" s="71"/>
      <c r="AF103" s="182" t="s">
        <v>64</v>
      </c>
      <c r="AG103" s="167"/>
      <c r="AH103" s="108" t="e">
        <f>AH101*AH83</f>
        <v>#DIV/0!</v>
      </c>
      <c r="AI103" s="109"/>
      <c r="AJ103" s="72"/>
      <c r="AK103" s="179" t="s">
        <v>64</v>
      </c>
      <c r="AL103" s="167"/>
      <c r="AM103" s="108" t="e">
        <f>AM101*AM83</f>
        <v>#DIV/0!</v>
      </c>
      <c r="AN103" s="71"/>
      <c r="AO103" s="182" t="s">
        <v>64</v>
      </c>
      <c r="AP103" s="167"/>
      <c r="AQ103" s="108" t="e">
        <f>AQ101*AQ83</f>
        <v>#DIV/0!</v>
      </c>
      <c r="AR103" s="109"/>
      <c r="AS103" s="72"/>
    </row>
    <row r="104" spans="1:45" ht="13.8" x14ac:dyDescent="0.25">
      <c r="A104" s="179" t="s">
        <v>65</v>
      </c>
      <c r="B104" s="167"/>
      <c r="C104" s="110" t="e">
        <f>C101*C81</f>
        <v>#DIV/0!</v>
      </c>
      <c r="D104" s="71"/>
      <c r="E104" s="182" t="s">
        <v>65</v>
      </c>
      <c r="F104" s="167"/>
      <c r="G104" s="110" t="e">
        <f>G101*G81</f>
        <v>#DIV/0!</v>
      </c>
      <c r="H104" s="109"/>
      <c r="I104" s="72"/>
      <c r="J104" s="179" t="s">
        <v>65</v>
      </c>
      <c r="K104" s="167"/>
      <c r="L104" s="110" t="e">
        <f>L101*L81</f>
        <v>#DIV/0!</v>
      </c>
      <c r="M104" s="71"/>
      <c r="N104" s="182" t="s">
        <v>65</v>
      </c>
      <c r="O104" s="167"/>
      <c r="P104" s="110" t="e">
        <f>P101*P81</f>
        <v>#DIV/0!</v>
      </c>
      <c r="Q104" s="109"/>
      <c r="R104" s="72"/>
      <c r="S104" s="179" t="s">
        <v>65</v>
      </c>
      <c r="T104" s="167"/>
      <c r="U104" s="110" t="e">
        <f>U101*U81</f>
        <v>#DIV/0!</v>
      </c>
      <c r="V104" s="71"/>
      <c r="W104" s="182" t="s">
        <v>65</v>
      </c>
      <c r="X104" s="167"/>
      <c r="Y104" s="110" t="e">
        <f>Y101*Y81</f>
        <v>#DIV/0!</v>
      </c>
      <c r="Z104" s="109"/>
      <c r="AA104" s="72"/>
      <c r="AB104" s="179" t="s">
        <v>65</v>
      </c>
      <c r="AC104" s="167"/>
      <c r="AD104" s="110" t="e">
        <f>AD101*AD81</f>
        <v>#DIV/0!</v>
      </c>
      <c r="AE104" s="71"/>
      <c r="AF104" s="182" t="s">
        <v>65</v>
      </c>
      <c r="AG104" s="167"/>
      <c r="AH104" s="110" t="e">
        <f>AH101*AH81</f>
        <v>#DIV/0!</v>
      </c>
      <c r="AI104" s="109"/>
      <c r="AJ104" s="72"/>
      <c r="AK104" s="179" t="s">
        <v>65</v>
      </c>
      <c r="AL104" s="167"/>
      <c r="AM104" s="110" t="e">
        <f>AM101*AM81</f>
        <v>#DIV/0!</v>
      </c>
      <c r="AN104" s="71"/>
      <c r="AO104" s="182" t="s">
        <v>65</v>
      </c>
      <c r="AP104" s="167"/>
      <c r="AQ104" s="110" t="e">
        <f>AQ101*AQ81</f>
        <v>#DIV/0!</v>
      </c>
      <c r="AR104" s="109"/>
      <c r="AS104" s="72"/>
    </row>
    <row r="105" spans="1:45" ht="13.8" x14ac:dyDescent="0.25">
      <c r="A105" s="179" t="s">
        <v>66</v>
      </c>
      <c r="B105" s="167"/>
      <c r="C105" s="111" t="e">
        <f>C101*C82</f>
        <v>#DIV/0!</v>
      </c>
      <c r="D105" s="71"/>
      <c r="E105" s="182" t="s">
        <v>66</v>
      </c>
      <c r="F105" s="167"/>
      <c r="G105" s="111" t="e">
        <f>G101*G82</f>
        <v>#DIV/0!</v>
      </c>
      <c r="H105" s="109"/>
      <c r="I105" s="72"/>
      <c r="J105" s="179" t="s">
        <v>66</v>
      </c>
      <c r="K105" s="167"/>
      <c r="L105" s="111" t="e">
        <f>L101*L82</f>
        <v>#DIV/0!</v>
      </c>
      <c r="M105" s="71"/>
      <c r="N105" s="182" t="s">
        <v>66</v>
      </c>
      <c r="O105" s="167"/>
      <c r="P105" s="111" t="e">
        <f>P101*P82</f>
        <v>#DIV/0!</v>
      </c>
      <c r="Q105" s="109"/>
      <c r="R105" s="72"/>
      <c r="S105" s="179" t="s">
        <v>66</v>
      </c>
      <c r="T105" s="167"/>
      <c r="U105" s="111" t="e">
        <f>U101*U82</f>
        <v>#DIV/0!</v>
      </c>
      <c r="V105" s="71"/>
      <c r="W105" s="182" t="s">
        <v>66</v>
      </c>
      <c r="X105" s="167"/>
      <c r="Y105" s="111" t="e">
        <f>Y101*Y82</f>
        <v>#DIV/0!</v>
      </c>
      <c r="Z105" s="109"/>
      <c r="AA105" s="72"/>
      <c r="AB105" s="179" t="s">
        <v>66</v>
      </c>
      <c r="AC105" s="167"/>
      <c r="AD105" s="111" t="e">
        <f>AD101*AD82</f>
        <v>#DIV/0!</v>
      </c>
      <c r="AE105" s="71"/>
      <c r="AF105" s="182" t="s">
        <v>66</v>
      </c>
      <c r="AG105" s="167"/>
      <c r="AH105" s="111" t="e">
        <f>AH101*AH82</f>
        <v>#DIV/0!</v>
      </c>
      <c r="AI105" s="109"/>
      <c r="AJ105" s="72"/>
      <c r="AK105" s="179" t="s">
        <v>66</v>
      </c>
      <c r="AL105" s="167"/>
      <c r="AM105" s="111" t="e">
        <f>AM101*AM82</f>
        <v>#DIV/0!</v>
      </c>
      <c r="AN105" s="71"/>
      <c r="AO105" s="182" t="s">
        <v>66</v>
      </c>
      <c r="AP105" s="167"/>
      <c r="AQ105" s="111" t="e">
        <f>AQ101*AQ82</f>
        <v>#DIV/0!</v>
      </c>
      <c r="AR105" s="109"/>
      <c r="AS105" s="72"/>
    </row>
    <row r="106" spans="1:45" ht="13.8" x14ac:dyDescent="0.25">
      <c r="A106" s="180" t="s">
        <v>67</v>
      </c>
      <c r="B106" s="167"/>
      <c r="C106" s="112" t="e">
        <f>C104/C94</f>
        <v>#DIV/0!</v>
      </c>
      <c r="D106" s="71"/>
      <c r="E106" s="183" t="s">
        <v>67</v>
      </c>
      <c r="F106" s="167"/>
      <c r="G106" s="112" t="e">
        <f>G104/G94</f>
        <v>#DIV/0!</v>
      </c>
      <c r="H106" s="109"/>
      <c r="I106" s="72"/>
      <c r="J106" s="180" t="s">
        <v>67</v>
      </c>
      <c r="K106" s="167"/>
      <c r="L106" s="112" t="e">
        <f>L104/L94</f>
        <v>#DIV/0!</v>
      </c>
      <c r="M106" s="71"/>
      <c r="N106" s="183" t="s">
        <v>67</v>
      </c>
      <c r="O106" s="167"/>
      <c r="P106" s="112" t="e">
        <f>P104/P94</f>
        <v>#DIV/0!</v>
      </c>
      <c r="Q106" s="109"/>
      <c r="R106" s="72"/>
      <c r="S106" s="180" t="s">
        <v>67</v>
      </c>
      <c r="T106" s="167"/>
      <c r="U106" s="112" t="e">
        <f>U104/U94</f>
        <v>#DIV/0!</v>
      </c>
      <c r="V106" s="71"/>
      <c r="W106" s="183" t="s">
        <v>67</v>
      </c>
      <c r="X106" s="167"/>
      <c r="Y106" s="112" t="e">
        <f>Y104/Y94</f>
        <v>#DIV/0!</v>
      </c>
      <c r="Z106" s="109"/>
      <c r="AA106" s="72"/>
      <c r="AB106" s="180" t="s">
        <v>67</v>
      </c>
      <c r="AC106" s="167"/>
      <c r="AD106" s="112" t="e">
        <f>AD104/AD94</f>
        <v>#DIV/0!</v>
      </c>
      <c r="AE106" s="71"/>
      <c r="AF106" s="183" t="s">
        <v>67</v>
      </c>
      <c r="AG106" s="167"/>
      <c r="AH106" s="112" t="e">
        <f>AH104/AH94</f>
        <v>#DIV/0!</v>
      </c>
      <c r="AI106" s="109"/>
      <c r="AJ106" s="72"/>
      <c r="AK106" s="180" t="s">
        <v>67</v>
      </c>
      <c r="AL106" s="167"/>
      <c r="AM106" s="112" t="e">
        <f>AM104/AM94</f>
        <v>#DIV/0!</v>
      </c>
      <c r="AN106" s="71"/>
      <c r="AO106" s="183" t="s">
        <v>67</v>
      </c>
      <c r="AP106" s="167"/>
      <c r="AQ106" s="112" t="e">
        <f>AQ104/AQ94</f>
        <v>#DIV/0!</v>
      </c>
      <c r="AR106" s="109"/>
      <c r="AS106" s="72"/>
    </row>
    <row r="107" spans="1:45" ht="13.8" x14ac:dyDescent="0.25">
      <c r="A107" s="180" t="s">
        <v>68</v>
      </c>
      <c r="B107" s="167"/>
      <c r="C107" s="112" t="e">
        <f>C105/C94</f>
        <v>#DIV/0!</v>
      </c>
      <c r="D107" s="71"/>
      <c r="E107" s="183" t="s">
        <v>68</v>
      </c>
      <c r="F107" s="167"/>
      <c r="G107" s="112" t="e">
        <f>G105/G94</f>
        <v>#DIV/0!</v>
      </c>
      <c r="H107" s="109"/>
      <c r="I107" s="72"/>
      <c r="J107" s="180" t="s">
        <v>68</v>
      </c>
      <c r="K107" s="167"/>
      <c r="L107" s="112" t="e">
        <f>L105/L94</f>
        <v>#DIV/0!</v>
      </c>
      <c r="M107" s="71"/>
      <c r="N107" s="183" t="s">
        <v>68</v>
      </c>
      <c r="O107" s="167"/>
      <c r="P107" s="112" t="e">
        <f>P105/P94</f>
        <v>#DIV/0!</v>
      </c>
      <c r="Q107" s="109"/>
      <c r="R107" s="72"/>
      <c r="S107" s="180" t="s">
        <v>68</v>
      </c>
      <c r="T107" s="167"/>
      <c r="U107" s="112" t="e">
        <f>U105/U94</f>
        <v>#DIV/0!</v>
      </c>
      <c r="V107" s="71"/>
      <c r="W107" s="183" t="s">
        <v>68</v>
      </c>
      <c r="X107" s="167"/>
      <c r="Y107" s="112" t="e">
        <f>Y105/Y94</f>
        <v>#DIV/0!</v>
      </c>
      <c r="Z107" s="109"/>
      <c r="AA107" s="72"/>
      <c r="AB107" s="180" t="s">
        <v>68</v>
      </c>
      <c r="AC107" s="167"/>
      <c r="AD107" s="112" t="e">
        <f>AD105/AD94</f>
        <v>#DIV/0!</v>
      </c>
      <c r="AE107" s="71"/>
      <c r="AF107" s="183" t="s">
        <v>68</v>
      </c>
      <c r="AG107" s="167"/>
      <c r="AH107" s="112" t="e">
        <f>AH105/AH94</f>
        <v>#DIV/0!</v>
      </c>
      <c r="AI107" s="109"/>
      <c r="AJ107" s="72"/>
      <c r="AK107" s="180" t="s">
        <v>68</v>
      </c>
      <c r="AL107" s="167"/>
      <c r="AM107" s="112" t="e">
        <f>AM105/AM94</f>
        <v>#DIV/0!</v>
      </c>
      <c r="AN107" s="71"/>
      <c r="AO107" s="183" t="s">
        <v>68</v>
      </c>
      <c r="AP107" s="167"/>
      <c r="AQ107" s="112" t="e">
        <f>AQ105/AQ94</f>
        <v>#DIV/0!</v>
      </c>
      <c r="AR107" s="109"/>
      <c r="AS107" s="72"/>
    </row>
    <row r="108" spans="1:45" ht="13.2" x14ac:dyDescent="0.25">
      <c r="A108" s="113"/>
      <c r="B108" s="113"/>
      <c r="C108" s="114"/>
      <c r="D108" s="113"/>
      <c r="E108" s="113"/>
      <c r="F108" s="113"/>
      <c r="G108" s="114"/>
      <c r="H108" s="115"/>
      <c r="I108" s="67"/>
      <c r="J108" s="113"/>
      <c r="K108" s="113"/>
      <c r="L108" s="114"/>
      <c r="M108" s="113"/>
      <c r="N108" s="113"/>
      <c r="O108" s="113"/>
      <c r="P108" s="114"/>
      <c r="Q108" s="115"/>
      <c r="R108" s="67"/>
      <c r="S108" s="113"/>
      <c r="T108" s="113"/>
      <c r="U108" s="114"/>
      <c r="V108" s="113"/>
      <c r="W108" s="113"/>
      <c r="X108" s="113"/>
      <c r="Y108" s="114"/>
      <c r="Z108" s="115"/>
      <c r="AA108" s="67"/>
      <c r="AB108" s="113"/>
      <c r="AC108" s="113"/>
      <c r="AD108" s="114"/>
      <c r="AE108" s="113"/>
      <c r="AF108" s="113"/>
      <c r="AG108" s="113"/>
      <c r="AH108" s="114"/>
      <c r="AI108" s="115"/>
      <c r="AJ108" s="67"/>
      <c r="AK108" s="113"/>
      <c r="AL108" s="113"/>
      <c r="AM108" s="114"/>
      <c r="AN108" s="113"/>
      <c r="AO108" s="113"/>
      <c r="AP108" s="113"/>
      <c r="AQ108" s="114"/>
      <c r="AR108" s="115"/>
      <c r="AS108" s="67"/>
    </row>
    <row r="109" spans="1:45" ht="13.2" x14ac:dyDescent="0.25">
      <c r="A109" s="113"/>
      <c r="B109" s="113"/>
      <c r="C109" s="114"/>
      <c r="D109" s="113"/>
      <c r="E109" s="113"/>
      <c r="F109" s="113"/>
      <c r="G109" s="114"/>
      <c r="H109" s="115"/>
      <c r="I109" s="67"/>
      <c r="J109" s="113"/>
      <c r="K109" s="113"/>
      <c r="L109" s="114"/>
      <c r="M109" s="113"/>
      <c r="N109" s="113"/>
      <c r="O109" s="113"/>
      <c r="P109" s="114"/>
      <c r="Q109" s="115"/>
      <c r="R109" s="67"/>
      <c r="S109" s="113"/>
      <c r="T109" s="113"/>
      <c r="U109" s="114"/>
      <c r="V109" s="113"/>
      <c r="W109" s="113"/>
      <c r="X109" s="113"/>
      <c r="Y109" s="114"/>
      <c r="Z109" s="115"/>
      <c r="AA109" s="67"/>
      <c r="AB109" s="113"/>
      <c r="AC109" s="113"/>
      <c r="AD109" s="114"/>
      <c r="AE109" s="113"/>
      <c r="AF109" s="113"/>
      <c r="AG109" s="113"/>
      <c r="AH109" s="114"/>
      <c r="AI109" s="115"/>
      <c r="AJ109" s="67"/>
      <c r="AK109" s="113"/>
      <c r="AL109" s="113"/>
      <c r="AM109" s="114"/>
      <c r="AN109" s="113"/>
      <c r="AO109" s="113"/>
      <c r="AP109" s="113"/>
      <c r="AQ109" s="114"/>
      <c r="AR109" s="115"/>
      <c r="AS109" s="67"/>
    </row>
    <row r="110" spans="1:45" ht="13.2" x14ac:dyDescent="0.25">
      <c r="A110" s="113"/>
      <c r="B110" s="113"/>
      <c r="C110" s="114"/>
      <c r="D110" s="113"/>
      <c r="E110" s="113"/>
      <c r="F110" s="113"/>
      <c r="G110" s="114"/>
      <c r="H110" s="115"/>
      <c r="I110" s="67"/>
      <c r="J110" s="113"/>
      <c r="K110" s="113"/>
      <c r="L110" s="114"/>
      <c r="M110" s="113"/>
      <c r="N110" s="113"/>
      <c r="O110" s="113"/>
      <c r="P110" s="114"/>
      <c r="Q110" s="115"/>
      <c r="R110" s="67"/>
      <c r="S110" s="113"/>
      <c r="T110" s="113"/>
      <c r="U110" s="114"/>
      <c r="V110" s="113"/>
      <c r="W110" s="113"/>
      <c r="X110" s="113"/>
      <c r="Y110" s="114"/>
      <c r="Z110" s="115"/>
      <c r="AA110" s="67"/>
      <c r="AB110" s="113"/>
      <c r="AC110" s="113"/>
      <c r="AD110" s="114"/>
      <c r="AE110" s="113"/>
      <c r="AF110" s="113"/>
      <c r="AG110" s="113"/>
      <c r="AH110" s="114"/>
      <c r="AI110" s="115"/>
      <c r="AJ110" s="67"/>
      <c r="AK110" s="113"/>
      <c r="AL110" s="113"/>
      <c r="AM110" s="114"/>
      <c r="AN110" s="113"/>
      <c r="AO110" s="113"/>
      <c r="AP110" s="113"/>
      <c r="AQ110" s="114"/>
      <c r="AR110" s="115"/>
      <c r="AS110" s="67"/>
    </row>
    <row r="111" spans="1:45" ht="13.2" x14ac:dyDescent="0.25">
      <c r="A111" s="116"/>
      <c r="B111" s="116"/>
      <c r="C111" s="117"/>
      <c r="D111" s="116"/>
      <c r="E111" s="116"/>
      <c r="F111" s="116"/>
      <c r="G111" s="117"/>
      <c r="H111" s="118"/>
      <c r="I111" s="67"/>
      <c r="J111" s="116"/>
      <c r="K111" s="116"/>
      <c r="L111" s="117"/>
      <c r="M111" s="116"/>
      <c r="N111" s="116"/>
      <c r="O111" s="116"/>
      <c r="P111" s="117"/>
      <c r="Q111" s="118"/>
      <c r="R111" s="67"/>
      <c r="S111" s="116"/>
      <c r="T111" s="116"/>
      <c r="U111" s="117"/>
      <c r="V111" s="116"/>
      <c r="W111" s="116"/>
      <c r="X111" s="116"/>
      <c r="Y111" s="117"/>
      <c r="Z111" s="118"/>
      <c r="AA111" s="67"/>
      <c r="AB111" s="116"/>
      <c r="AC111" s="116"/>
      <c r="AD111" s="117"/>
      <c r="AE111" s="116"/>
      <c r="AF111" s="116"/>
      <c r="AG111" s="116"/>
      <c r="AH111" s="117"/>
      <c r="AI111" s="118"/>
      <c r="AJ111" s="67"/>
      <c r="AK111" s="116"/>
      <c r="AL111" s="116"/>
      <c r="AM111" s="117"/>
      <c r="AN111" s="116"/>
      <c r="AO111" s="116"/>
      <c r="AP111" s="116"/>
      <c r="AQ111" s="117"/>
      <c r="AR111" s="118"/>
      <c r="AS111" s="67"/>
    </row>
    <row r="112" spans="1:45" ht="13.2" x14ac:dyDescent="0.25">
      <c r="A112" s="119"/>
      <c r="B112" s="67"/>
      <c r="C112" s="92"/>
      <c r="D112" s="92"/>
      <c r="E112" s="67"/>
      <c r="F112" s="67"/>
      <c r="G112" s="92"/>
      <c r="H112" s="92"/>
      <c r="I112" s="67"/>
      <c r="J112" s="119"/>
      <c r="K112" s="67"/>
      <c r="L112" s="92"/>
      <c r="M112" s="92"/>
      <c r="N112" s="67"/>
      <c r="O112" s="67"/>
      <c r="P112" s="92"/>
      <c r="Q112" s="92"/>
      <c r="R112" s="67"/>
      <c r="S112" s="119"/>
      <c r="T112" s="67"/>
      <c r="U112" s="92"/>
      <c r="V112" s="92"/>
      <c r="W112" s="67"/>
      <c r="X112" s="67"/>
      <c r="Y112" s="92"/>
      <c r="Z112" s="92"/>
      <c r="AA112" s="67"/>
      <c r="AB112" s="119"/>
      <c r="AC112" s="67"/>
      <c r="AD112" s="92"/>
      <c r="AE112" s="92"/>
      <c r="AF112" s="67"/>
      <c r="AG112" s="67"/>
      <c r="AH112" s="92"/>
      <c r="AI112" s="92"/>
      <c r="AJ112" s="67"/>
      <c r="AK112" s="119"/>
      <c r="AL112" s="67"/>
      <c r="AM112" s="92"/>
      <c r="AN112" s="92"/>
      <c r="AO112" s="67"/>
      <c r="AP112" s="67"/>
      <c r="AQ112" s="92"/>
      <c r="AR112" s="92"/>
      <c r="AS112" s="67"/>
    </row>
    <row r="113" spans="3:44" ht="13.2" x14ac:dyDescent="0.25">
      <c r="C113" s="5"/>
      <c r="D113" s="6"/>
      <c r="G113" s="6"/>
      <c r="H113" s="6"/>
      <c r="L113" s="5"/>
      <c r="M113" s="6"/>
      <c r="P113" s="6"/>
      <c r="Q113" s="6"/>
      <c r="U113" s="5"/>
      <c r="V113" s="6"/>
      <c r="Y113" s="6"/>
      <c r="Z113" s="6"/>
      <c r="AD113" s="5"/>
      <c r="AE113" s="6"/>
      <c r="AH113" s="6"/>
      <c r="AI113" s="6"/>
      <c r="AM113" s="5"/>
      <c r="AN113" s="6"/>
      <c r="AQ113" s="6"/>
      <c r="AR113" s="6"/>
    </row>
    <row r="114" spans="3:44" ht="13.2" x14ac:dyDescent="0.25">
      <c r="C114" s="5"/>
      <c r="D114" s="6"/>
      <c r="G114" s="6"/>
      <c r="H114" s="6"/>
      <c r="L114" s="5"/>
      <c r="M114" s="6"/>
      <c r="P114" s="6"/>
      <c r="Q114" s="6"/>
      <c r="U114" s="5"/>
      <c r="V114" s="6"/>
      <c r="Y114" s="6"/>
      <c r="Z114" s="6"/>
      <c r="AD114" s="5"/>
      <c r="AE114" s="6"/>
      <c r="AH114" s="6"/>
      <c r="AI114" s="6"/>
      <c r="AM114" s="5"/>
      <c r="AN114" s="6"/>
      <c r="AQ114" s="6"/>
      <c r="AR114" s="6"/>
    </row>
    <row r="115" spans="3:44" ht="13.2" x14ac:dyDescent="0.25">
      <c r="C115" s="5"/>
      <c r="D115" s="6"/>
      <c r="G115" s="6"/>
      <c r="H115" s="6"/>
      <c r="L115" s="5"/>
      <c r="M115" s="6"/>
      <c r="P115" s="6"/>
      <c r="Q115" s="6"/>
      <c r="U115" s="5"/>
      <c r="V115" s="6"/>
      <c r="Y115" s="6"/>
      <c r="Z115" s="6"/>
      <c r="AD115" s="5"/>
      <c r="AE115" s="6"/>
      <c r="AH115" s="6"/>
      <c r="AI115" s="6"/>
      <c r="AM115" s="5"/>
      <c r="AN115" s="6"/>
      <c r="AQ115" s="6"/>
      <c r="AR115" s="6"/>
    </row>
    <row r="116" spans="3:44" ht="13.2" x14ac:dyDescent="0.25">
      <c r="C116" s="5"/>
      <c r="D116" s="6"/>
      <c r="G116" s="6"/>
      <c r="H116" s="6"/>
      <c r="L116" s="5"/>
      <c r="M116" s="6"/>
      <c r="P116" s="6"/>
      <c r="Q116" s="6"/>
      <c r="U116" s="5"/>
      <c r="V116" s="6"/>
      <c r="Y116" s="6"/>
      <c r="Z116" s="6"/>
      <c r="AD116" s="5"/>
      <c r="AE116" s="6"/>
      <c r="AH116" s="6"/>
      <c r="AI116" s="6"/>
      <c r="AM116" s="5"/>
      <c r="AN116" s="6"/>
      <c r="AQ116" s="6"/>
      <c r="AR116" s="6"/>
    </row>
    <row r="117" spans="3:44" ht="13.2" x14ac:dyDescent="0.25">
      <c r="C117" s="5"/>
      <c r="D117" s="6"/>
      <c r="G117" s="6"/>
      <c r="H117" s="6"/>
      <c r="L117" s="5"/>
      <c r="M117" s="6"/>
      <c r="P117" s="6"/>
      <c r="Q117" s="6"/>
      <c r="U117" s="5"/>
      <c r="V117" s="6"/>
      <c r="Y117" s="6"/>
      <c r="Z117" s="6"/>
      <c r="AD117" s="5"/>
      <c r="AE117" s="6"/>
      <c r="AH117" s="6"/>
      <c r="AI117" s="6"/>
      <c r="AM117" s="5"/>
      <c r="AN117" s="6"/>
      <c r="AQ117" s="6"/>
      <c r="AR117" s="6"/>
    </row>
    <row r="118" spans="3:44" ht="13.2" x14ac:dyDescent="0.25">
      <c r="C118" s="5"/>
      <c r="D118" s="6"/>
      <c r="G118" s="6"/>
      <c r="H118" s="6"/>
      <c r="L118" s="5"/>
      <c r="M118" s="6"/>
      <c r="P118" s="6"/>
      <c r="Q118" s="6"/>
      <c r="U118" s="5"/>
      <c r="V118" s="6"/>
      <c r="Y118" s="6"/>
      <c r="Z118" s="6"/>
      <c r="AD118" s="5"/>
      <c r="AE118" s="6"/>
      <c r="AH118" s="6"/>
      <c r="AI118" s="6"/>
      <c r="AM118" s="5"/>
      <c r="AN118" s="6"/>
      <c r="AQ118" s="6"/>
      <c r="AR118" s="6"/>
    </row>
    <row r="119" spans="3:44" ht="13.2" x14ac:dyDescent="0.25">
      <c r="C119" s="5"/>
      <c r="D119" s="6"/>
      <c r="G119" s="6"/>
      <c r="H119" s="6"/>
      <c r="L119" s="5"/>
      <c r="M119" s="6"/>
      <c r="P119" s="6"/>
      <c r="Q119" s="6"/>
      <c r="U119" s="5"/>
      <c r="V119" s="6"/>
      <c r="Y119" s="6"/>
      <c r="Z119" s="6"/>
      <c r="AD119" s="5"/>
      <c r="AE119" s="6"/>
      <c r="AH119" s="6"/>
      <c r="AI119" s="6"/>
      <c r="AM119" s="5"/>
      <c r="AN119" s="6"/>
      <c r="AQ119" s="6"/>
      <c r="AR119" s="6"/>
    </row>
    <row r="120" spans="3:44" ht="13.2" x14ac:dyDescent="0.25">
      <c r="C120" s="5"/>
      <c r="D120" s="6"/>
      <c r="G120" s="6"/>
      <c r="H120" s="6"/>
      <c r="L120" s="5"/>
      <c r="M120" s="6"/>
      <c r="P120" s="6"/>
      <c r="Q120" s="6"/>
      <c r="U120" s="5"/>
      <c r="V120" s="6"/>
      <c r="Y120" s="6"/>
      <c r="Z120" s="6"/>
      <c r="AD120" s="5"/>
      <c r="AE120" s="6"/>
      <c r="AH120" s="6"/>
      <c r="AI120" s="6"/>
      <c r="AM120" s="5"/>
      <c r="AN120" s="6"/>
      <c r="AQ120" s="6"/>
      <c r="AR120" s="6"/>
    </row>
    <row r="121" spans="3:44" ht="13.2" x14ac:dyDescent="0.25">
      <c r="C121" s="5"/>
      <c r="D121" s="6"/>
      <c r="G121" s="6"/>
      <c r="H121" s="6"/>
      <c r="L121" s="5"/>
      <c r="M121" s="6"/>
      <c r="P121" s="6"/>
      <c r="Q121" s="6"/>
      <c r="U121" s="5"/>
      <c r="V121" s="6"/>
      <c r="Y121" s="6"/>
      <c r="Z121" s="6"/>
      <c r="AD121" s="5"/>
      <c r="AE121" s="6"/>
      <c r="AH121" s="6"/>
      <c r="AI121" s="6"/>
      <c r="AM121" s="5"/>
      <c r="AN121" s="6"/>
      <c r="AQ121" s="6"/>
      <c r="AR121" s="6"/>
    </row>
    <row r="122" spans="3:44" ht="13.2" x14ac:dyDescent="0.25">
      <c r="C122" s="5"/>
      <c r="D122" s="6"/>
      <c r="G122" s="6"/>
      <c r="H122" s="6"/>
      <c r="L122" s="5"/>
      <c r="M122" s="6"/>
      <c r="P122" s="6"/>
      <c r="Q122" s="6"/>
      <c r="U122" s="5"/>
      <c r="V122" s="6"/>
      <c r="Y122" s="6"/>
      <c r="Z122" s="6"/>
      <c r="AD122" s="5"/>
      <c r="AE122" s="6"/>
      <c r="AH122" s="6"/>
      <c r="AI122" s="6"/>
      <c r="AM122" s="5"/>
      <c r="AN122" s="6"/>
      <c r="AQ122" s="6"/>
      <c r="AR122" s="6"/>
    </row>
    <row r="123" spans="3:44" ht="13.2" x14ac:dyDescent="0.25">
      <c r="C123" s="5"/>
      <c r="D123" s="6"/>
      <c r="G123" s="6"/>
      <c r="H123" s="6"/>
      <c r="L123" s="5"/>
      <c r="M123" s="6"/>
      <c r="P123" s="6"/>
      <c r="Q123" s="6"/>
      <c r="U123" s="5"/>
      <c r="V123" s="6"/>
      <c r="Y123" s="6"/>
      <c r="Z123" s="6"/>
      <c r="AD123" s="5"/>
      <c r="AE123" s="6"/>
      <c r="AH123" s="6"/>
      <c r="AI123" s="6"/>
      <c r="AM123" s="5"/>
      <c r="AN123" s="6"/>
      <c r="AQ123" s="6"/>
      <c r="AR123" s="6"/>
    </row>
    <row r="124" spans="3:44" ht="13.2" x14ac:dyDescent="0.25">
      <c r="C124" s="5"/>
      <c r="D124" s="6"/>
      <c r="G124" s="6"/>
      <c r="H124" s="6"/>
      <c r="L124" s="5"/>
      <c r="M124" s="6"/>
      <c r="P124" s="6"/>
      <c r="Q124" s="6"/>
      <c r="U124" s="5"/>
      <c r="V124" s="6"/>
      <c r="Y124" s="6"/>
      <c r="Z124" s="6"/>
      <c r="AD124" s="5"/>
      <c r="AE124" s="6"/>
      <c r="AH124" s="6"/>
      <c r="AI124" s="6"/>
      <c r="AM124" s="5"/>
      <c r="AN124" s="6"/>
      <c r="AQ124" s="6"/>
      <c r="AR124" s="6"/>
    </row>
    <row r="125" spans="3:44" ht="13.2" x14ac:dyDescent="0.25">
      <c r="C125" s="5"/>
      <c r="D125" s="6"/>
      <c r="G125" s="6"/>
      <c r="H125" s="6"/>
      <c r="L125" s="5"/>
      <c r="M125" s="6"/>
      <c r="P125" s="6"/>
      <c r="Q125" s="6"/>
      <c r="U125" s="5"/>
      <c r="V125" s="6"/>
      <c r="Y125" s="6"/>
      <c r="Z125" s="6"/>
      <c r="AD125" s="5"/>
      <c r="AE125" s="6"/>
      <c r="AH125" s="6"/>
      <c r="AI125" s="6"/>
      <c r="AM125" s="5"/>
      <c r="AN125" s="6"/>
      <c r="AQ125" s="6"/>
      <c r="AR125" s="6"/>
    </row>
    <row r="126" spans="3:44" ht="13.2" x14ac:dyDescent="0.25">
      <c r="C126" s="5"/>
      <c r="D126" s="6"/>
      <c r="G126" s="6"/>
      <c r="H126" s="6"/>
      <c r="L126" s="5"/>
      <c r="M126" s="6"/>
      <c r="P126" s="6"/>
      <c r="Q126" s="6"/>
      <c r="U126" s="5"/>
      <c r="V126" s="6"/>
      <c r="Y126" s="6"/>
      <c r="Z126" s="6"/>
      <c r="AD126" s="5"/>
      <c r="AE126" s="6"/>
      <c r="AH126" s="6"/>
      <c r="AI126" s="6"/>
      <c r="AM126" s="5"/>
      <c r="AN126" s="6"/>
      <c r="AQ126" s="6"/>
      <c r="AR126" s="6"/>
    </row>
    <row r="127" spans="3:44" ht="13.2" x14ac:dyDescent="0.25">
      <c r="C127" s="5"/>
      <c r="D127" s="6"/>
      <c r="G127" s="6"/>
      <c r="H127" s="6"/>
      <c r="L127" s="5"/>
      <c r="M127" s="6"/>
      <c r="P127" s="6"/>
      <c r="Q127" s="6"/>
      <c r="U127" s="5"/>
      <c r="V127" s="6"/>
      <c r="Y127" s="6"/>
      <c r="Z127" s="6"/>
      <c r="AD127" s="5"/>
      <c r="AE127" s="6"/>
      <c r="AH127" s="6"/>
      <c r="AI127" s="6"/>
      <c r="AM127" s="5"/>
      <c r="AN127" s="6"/>
      <c r="AQ127" s="6"/>
      <c r="AR127" s="6"/>
    </row>
    <row r="128" spans="3:44" ht="13.2" x14ac:dyDescent="0.25">
      <c r="C128" s="5"/>
      <c r="D128" s="6"/>
      <c r="G128" s="6"/>
      <c r="H128" s="6"/>
      <c r="L128" s="5"/>
      <c r="M128" s="6"/>
      <c r="P128" s="6"/>
      <c r="Q128" s="6"/>
      <c r="U128" s="5"/>
      <c r="V128" s="6"/>
      <c r="Y128" s="6"/>
      <c r="Z128" s="6"/>
      <c r="AD128" s="5"/>
      <c r="AE128" s="6"/>
      <c r="AH128" s="6"/>
      <c r="AI128" s="6"/>
      <c r="AM128" s="5"/>
      <c r="AN128" s="6"/>
      <c r="AQ128" s="6"/>
      <c r="AR128" s="6"/>
    </row>
    <row r="129" spans="3:44" ht="13.2" x14ac:dyDescent="0.25">
      <c r="C129" s="5"/>
      <c r="D129" s="6"/>
      <c r="G129" s="6"/>
      <c r="H129" s="6"/>
      <c r="L129" s="5"/>
      <c r="M129" s="6"/>
      <c r="P129" s="6"/>
      <c r="Q129" s="6"/>
      <c r="U129" s="5"/>
      <c r="V129" s="6"/>
      <c r="Y129" s="6"/>
      <c r="Z129" s="6"/>
      <c r="AD129" s="5"/>
      <c r="AE129" s="6"/>
      <c r="AH129" s="6"/>
      <c r="AI129" s="6"/>
      <c r="AM129" s="5"/>
      <c r="AN129" s="6"/>
      <c r="AQ129" s="6"/>
      <c r="AR129" s="6"/>
    </row>
    <row r="130" spans="3:44" ht="13.2" x14ac:dyDescent="0.25">
      <c r="C130" s="5"/>
      <c r="D130" s="6"/>
      <c r="G130" s="6"/>
      <c r="H130" s="6"/>
      <c r="L130" s="5"/>
      <c r="M130" s="6"/>
      <c r="P130" s="6"/>
      <c r="Q130" s="6"/>
      <c r="U130" s="5"/>
      <c r="V130" s="6"/>
      <c r="Y130" s="6"/>
      <c r="Z130" s="6"/>
      <c r="AD130" s="5"/>
      <c r="AE130" s="6"/>
      <c r="AH130" s="6"/>
      <c r="AI130" s="6"/>
      <c r="AM130" s="5"/>
      <c r="AN130" s="6"/>
      <c r="AQ130" s="6"/>
      <c r="AR130" s="6"/>
    </row>
    <row r="131" spans="3:44" ht="13.2" x14ac:dyDescent="0.25">
      <c r="C131" s="5"/>
      <c r="D131" s="6"/>
      <c r="G131" s="6"/>
      <c r="H131" s="6"/>
      <c r="L131" s="5"/>
      <c r="M131" s="6"/>
      <c r="P131" s="6"/>
      <c r="Q131" s="6"/>
      <c r="U131" s="5"/>
      <c r="V131" s="6"/>
      <c r="Y131" s="6"/>
      <c r="Z131" s="6"/>
      <c r="AD131" s="5"/>
      <c r="AE131" s="6"/>
      <c r="AH131" s="6"/>
      <c r="AI131" s="6"/>
      <c r="AM131" s="5"/>
      <c r="AN131" s="6"/>
      <c r="AQ131" s="6"/>
      <c r="AR131" s="6"/>
    </row>
    <row r="132" spans="3:44" ht="13.2" x14ac:dyDescent="0.25">
      <c r="C132" s="5"/>
      <c r="D132" s="6"/>
      <c r="G132" s="6"/>
      <c r="H132" s="6"/>
      <c r="L132" s="5"/>
      <c r="M132" s="6"/>
      <c r="P132" s="6"/>
      <c r="Q132" s="6"/>
      <c r="U132" s="5"/>
      <c r="V132" s="6"/>
      <c r="Y132" s="6"/>
      <c r="Z132" s="6"/>
      <c r="AD132" s="5"/>
      <c r="AE132" s="6"/>
      <c r="AH132" s="6"/>
      <c r="AI132" s="6"/>
      <c r="AM132" s="5"/>
      <c r="AN132" s="6"/>
      <c r="AQ132" s="6"/>
      <c r="AR132" s="6"/>
    </row>
    <row r="133" spans="3:44" ht="13.2" x14ac:dyDescent="0.25">
      <c r="C133" s="5"/>
      <c r="D133" s="6"/>
      <c r="G133" s="6"/>
      <c r="H133" s="6"/>
      <c r="L133" s="5"/>
      <c r="M133" s="6"/>
      <c r="P133" s="6"/>
      <c r="Q133" s="6"/>
      <c r="U133" s="5"/>
      <c r="V133" s="6"/>
      <c r="Y133" s="6"/>
      <c r="Z133" s="6"/>
      <c r="AD133" s="5"/>
      <c r="AE133" s="6"/>
      <c r="AH133" s="6"/>
      <c r="AI133" s="6"/>
      <c r="AM133" s="5"/>
      <c r="AN133" s="6"/>
      <c r="AQ133" s="6"/>
      <c r="AR133" s="6"/>
    </row>
    <row r="134" spans="3:44" ht="13.2" x14ac:dyDescent="0.25">
      <c r="C134" s="5"/>
      <c r="D134" s="6"/>
      <c r="G134" s="6"/>
      <c r="H134" s="6"/>
      <c r="L134" s="5"/>
      <c r="M134" s="6"/>
      <c r="P134" s="6"/>
      <c r="Q134" s="6"/>
      <c r="U134" s="5"/>
      <c r="V134" s="6"/>
      <c r="Y134" s="6"/>
      <c r="Z134" s="6"/>
      <c r="AD134" s="5"/>
      <c r="AE134" s="6"/>
      <c r="AH134" s="6"/>
      <c r="AI134" s="6"/>
      <c r="AM134" s="5"/>
      <c r="AN134" s="6"/>
      <c r="AQ134" s="6"/>
      <c r="AR134" s="6"/>
    </row>
    <row r="135" spans="3:44" ht="13.2" x14ac:dyDescent="0.25">
      <c r="C135" s="5"/>
      <c r="D135" s="6"/>
      <c r="G135" s="6"/>
      <c r="H135" s="6"/>
      <c r="L135" s="5"/>
      <c r="M135" s="6"/>
      <c r="P135" s="6"/>
      <c r="Q135" s="6"/>
      <c r="U135" s="5"/>
      <c r="V135" s="6"/>
      <c r="Y135" s="6"/>
      <c r="Z135" s="6"/>
      <c r="AD135" s="5"/>
      <c r="AE135" s="6"/>
      <c r="AH135" s="6"/>
      <c r="AI135" s="6"/>
      <c r="AM135" s="5"/>
      <c r="AN135" s="6"/>
      <c r="AQ135" s="6"/>
      <c r="AR135" s="6"/>
    </row>
    <row r="136" spans="3:44" ht="13.2" x14ac:dyDescent="0.25">
      <c r="C136" s="5"/>
      <c r="D136" s="6"/>
      <c r="G136" s="6"/>
      <c r="H136" s="6"/>
      <c r="L136" s="5"/>
      <c r="M136" s="6"/>
      <c r="P136" s="6"/>
      <c r="Q136" s="6"/>
      <c r="U136" s="5"/>
      <c r="V136" s="6"/>
      <c r="Y136" s="6"/>
      <c r="Z136" s="6"/>
      <c r="AD136" s="5"/>
      <c r="AE136" s="6"/>
      <c r="AH136" s="6"/>
      <c r="AI136" s="6"/>
      <c r="AM136" s="5"/>
      <c r="AN136" s="6"/>
      <c r="AQ136" s="6"/>
      <c r="AR136" s="6"/>
    </row>
    <row r="137" spans="3:44" ht="13.2" x14ac:dyDescent="0.25">
      <c r="C137" s="5"/>
      <c r="D137" s="6"/>
      <c r="G137" s="6"/>
      <c r="H137" s="6"/>
      <c r="L137" s="5"/>
      <c r="M137" s="6"/>
      <c r="P137" s="6"/>
      <c r="Q137" s="6"/>
      <c r="U137" s="5"/>
      <c r="V137" s="6"/>
      <c r="Y137" s="6"/>
      <c r="Z137" s="6"/>
      <c r="AD137" s="5"/>
      <c r="AE137" s="6"/>
      <c r="AH137" s="6"/>
      <c r="AI137" s="6"/>
      <c r="AM137" s="5"/>
      <c r="AN137" s="6"/>
      <c r="AQ137" s="6"/>
      <c r="AR137" s="6"/>
    </row>
    <row r="138" spans="3:44" ht="13.2" x14ac:dyDescent="0.25">
      <c r="C138" s="5"/>
      <c r="D138" s="6"/>
      <c r="G138" s="6"/>
      <c r="H138" s="6"/>
      <c r="L138" s="5"/>
      <c r="M138" s="6"/>
      <c r="P138" s="6"/>
      <c r="Q138" s="6"/>
      <c r="U138" s="5"/>
      <c r="V138" s="6"/>
      <c r="Y138" s="6"/>
      <c r="Z138" s="6"/>
      <c r="AD138" s="5"/>
      <c r="AE138" s="6"/>
      <c r="AH138" s="6"/>
      <c r="AI138" s="6"/>
      <c r="AM138" s="5"/>
      <c r="AN138" s="6"/>
      <c r="AQ138" s="6"/>
      <c r="AR138" s="6"/>
    </row>
    <row r="139" spans="3:44" ht="13.2" x14ac:dyDescent="0.25">
      <c r="C139" s="5"/>
      <c r="D139" s="6"/>
      <c r="G139" s="6"/>
      <c r="H139" s="6"/>
      <c r="L139" s="5"/>
      <c r="M139" s="6"/>
      <c r="P139" s="6"/>
      <c r="Q139" s="6"/>
      <c r="U139" s="5"/>
      <c r="V139" s="6"/>
      <c r="Y139" s="6"/>
      <c r="Z139" s="6"/>
      <c r="AD139" s="5"/>
      <c r="AE139" s="6"/>
      <c r="AH139" s="6"/>
      <c r="AI139" s="6"/>
      <c r="AM139" s="5"/>
      <c r="AN139" s="6"/>
      <c r="AQ139" s="6"/>
      <c r="AR139" s="6"/>
    </row>
    <row r="140" spans="3:44" ht="13.2" x14ac:dyDescent="0.25">
      <c r="C140" s="5"/>
      <c r="D140" s="6"/>
      <c r="G140" s="6"/>
      <c r="H140" s="6"/>
      <c r="L140" s="5"/>
      <c r="M140" s="6"/>
      <c r="P140" s="6"/>
      <c r="Q140" s="6"/>
      <c r="U140" s="5"/>
      <c r="V140" s="6"/>
      <c r="Y140" s="6"/>
      <c r="Z140" s="6"/>
      <c r="AD140" s="5"/>
      <c r="AE140" s="6"/>
      <c r="AH140" s="6"/>
      <c r="AI140" s="6"/>
      <c r="AM140" s="5"/>
      <c r="AN140" s="6"/>
      <c r="AQ140" s="6"/>
      <c r="AR140" s="6"/>
    </row>
    <row r="141" spans="3:44" ht="13.2" x14ac:dyDescent="0.25">
      <c r="C141" s="5"/>
      <c r="D141" s="6"/>
      <c r="G141" s="6"/>
      <c r="H141" s="6"/>
      <c r="L141" s="5"/>
      <c r="M141" s="6"/>
      <c r="P141" s="6"/>
      <c r="Q141" s="6"/>
      <c r="U141" s="5"/>
      <c r="V141" s="6"/>
      <c r="Y141" s="6"/>
      <c r="Z141" s="6"/>
      <c r="AD141" s="5"/>
      <c r="AE141" s="6"/>
      <c r="AH141" s="6"/>
      <c r="AI141" s="6"/>
      <c r="AM141" s="5"/>
      <c r="AN141" s="6"/>
      <c r="AQ141" s="6"/>
      <c r="AR141" s="6"/>
    </row>
    <row r="142" spans="3:44" ht="13.2" x14ac:dyDescent="0.25">
      <c r="C142" s="5"/>
      <c r="D142" s="6"/>
      <c r="G142" s="6"/>
      <c r="H142" s="6"/>
      <c r="L142" s="5"/>
      <c r="M142" s="6"/>
      <c r="P142" s="6"/>
      <c r="Q142" s="6"/>
      <c r="U142" s="5"/>
      <c r="V142" s="6"/>
      <c r="Y142" s="6"/>
      <c r="Z142" s="6"/>
      <c r="AD142" s="5"/>
      <c r="AE142" s="6"/>
      <c r="AH142" s="6"/>
      <c r="AI142" s="6"/>
      <c r="AM142" s="5"/>
      <c r="AN142" s="6"/>
      <c r="AQ142" s="6"/>
      <c r="AR142" s="6"/>
    </row>
    <row r="143" spans="3:44" ht="13.2" x14ac:dyDescent="0.25">
      <c r="C143" s="5"/>
      <c r="D143" s="6"/>
      <c r="G143" s="6"/>
      <c r="H143" s="6"/>
      <c r="L143" s="5"/>
      <c r="M143" s="6"/>
      <c r="P143" s="6"/>
      <c r="Q143" s="6"/>
      <c r="U143" s="5"/>
      <c r="V143" s="6"/>
      <c r="Y143" s="6"/>
      <c r="Z143" s="6"/>
      <c r="AD143" s="5"/>
      <c r="AE143" s="6"/>
      <c r="AH143" s="6"/>
      <c r="AI143" s="6"/>
      <c r="AM143" s="5"/>
      <c r="AN143" s="6"/>
      <c r="AQ143" s="6"/>
      <c r="AR143" s="6"/>
    </row>
    <row r="144" spans="3:44" ht="13.2" x14ac:dyDescent="0.25">
      <c r="C144" s="5"/>
      <c r="D144" s="6"/>
      <c r="G144" s="6"/>
      <c r="H144" s="6"/>
      <c r="L144" s="5"/>
      <c r="M144" s="6"/>
      <c r="P144" s="6"/>
      <c r="Q144" s="6"/>
      <c r="U144" s="5"/>
      <c r="V144" s="6"/>
      <c r="Y144" s="6"/>
      <c r="Z144" s="6"/>
      <c r="AD144" s="5"/>
      <c r="AE144" s="6"/>
      <c r="AH144" s="6"/>
      <c r="AI144" s="6"/>
      <c r="AM144" s="5"/>
      <c r="AN144" s="6"/>
      <c r="AQ144" s="6"/>
      <c r="AR144" s="6"/>
    </row>
    <row r="145" spans="3:44" ht="13.2" x14ac:dyDescent="0.25">
      <c r="C145" s="5"/>
      <c r="D145" s="6"/>
      <c r="G145" s="6"/>
      <c r="H145" s="6"/>
      <c r="L145" s="5"/>
      <c r="M145" s="6"/>
      <c r="P145" s="6"/>
      <c r="Q145" s="6"/>
      <c r="U145" s="5"/>
      <c r="V145" s="6"/>
      <c r="Y145" s="6"/>
      <c r="Z145" s="6"/>
      <c r="AD145" s="5"/>
      <c r="AE145" s="6"/>
      <c r="AH145" s="6"/>
      <c r="AI145" s="6"/>
      <c r="AM145" s="5"/>
      <c r="AN145" s="6"/>
      <c r="AQ145" s="6"/>
      <c r="AR145" s="6"/>
    </row>
    <row r="146" spans="3:44" ht="13.2" x14ac:dyDescent="0.25">
      <c r="C146" s="5"/>
      <c r="D146" s="6"/>
      <c r="G146" s="6"/>
      <c r="H146" s="6"/>
      <c r="L146" s="5"/>
      <c r="M146" s="6"/>
      <c r="P146" s="6"/>
      <c r="Q146" s="6"/>
      <c r="U146" s="5"/>
      <c r="V146" s="6"/>
      <c r="Y146" s="6"/>
      <c r="Z146" s="6"/>
      <c r="AD146" s="5"/>
      <c r="AE146" s="6"/>
      <c r="AH146" s="6"/>
      <c r="AI146" s="6"/>
      <c r="AM146" s="5"/>
      <c r="AN146" s="6"/>
      <c r="AQ146" s="6"/>
      <c r="AR146" s="6"/>
    </row>
    <row r="147" spans="3:44" ht="13.2" x14ac:dyDescent="0.25">
      <c r="C147" s="5"/>
      <c r="D147" s="6"/>
      <c r="G147" s="6"/>
      <c r="H147" s="6"/>
      <c r="L147" s="5"/>
      <c r="M147" s="6"/>
      <c r="P147" s="6"/>
      <c r="Q147" s="6"/>
      <c r="U147" s="5"/>
      <c r="V147" s="6"/>
      <c r="Y147" s="6"/>
      <c r="Z147" s="6"/>
      <c r="AD147" s="5"/>
      <c r="AE147" s="6"/>
      <c r="AH147" s="6"/>
      <c r="AI147" s="6"/>
      <c r="AM147" s="5"/>
      <c r="AN147" s="6"/>
      <c r="AQ147" s="6"/>
      <c r="AR147" s="6"/>
    </row>
    <row r="148" spans="3:44" ht="13.2" x14ac:dyDescent="0.25">
      <c r="C148" s="5"/>
      <c r="D148" s="6"/>
      <c r="G148" s="6"/>
      <c r="H148" s="6"/>
      <c r="L148" s="5"/>
      <c r="M148" s="6"/>
      <c r="P148" s="6"/>
      <c r="Q148" s="6"/>
      <c r="U148" s="5"/>
      <c r="V148" s="6"/>
      <c r="Y148" s="6"/>
      <c r="Z148" s="6"/>
      <c r="AD148" s="5"/>
      <c r="AE148" s="6"/>
      <c r="AH148" s="6"/>
      <c r="AI148" s="6"/>
      <c r="AM148" s="5"/>
      <c r="AN148" s="6"/>
      <c r="AQ148" s="6"/>
      <c r="AR148" s="6"/>
    </row>
    <row r="149" spans="3:44" ht="13.2" x14ac:dyDescent="0.25">
      <c r="C149" s="5"/>
      <c r="D149" s="6"/>
      <c r="G149" s="6"/>
      <c r="H149" s="6"/>
      <c r="L149" s="5"/>
      <c r="M149" s="6"/>
      <c r="P149" s="6"/>
      <c r="Q149" s="6"/>
      <c r="U149" s="5"/>
      <c r="V149" s="6"/>
      <c r="Y149" s="6"/>
      <c r="Z149" s="6"/>
      <c r="AD149" s="5"/>
      <c r="AE149" s="6"/>
      <c r="AH149" s="6"/>
      <c r="AI149" s="6"/>
      <c r="AM149" s="5"/>
      <c r="AN149" s="6"/>
      <c r="AQ149" s="6"/>
      <c r="AR149" s="6"/>
    </row>
    <row r="150" spans="3:44" ht="13.2" x14ac:dyDescent="0.25">
      <c r="C150" s="5"/>
      <c r="D150" s="6"/>
      <c r="G150" s="6"/>
      <c r="H150" s="6"/>
      <c r="L150" s="5"/>
      <c r="M150" s="6"/>
      <c r="P150" s="6"/>
      <c r="Q150" s="6"/>
      <c r="U150" s="5"/>
      <c r="V150" s="6"/>
      <c r="Y150" s="6"/>
      <c r="Z150" s="6"/>
      <c r="AD150" s="5"/>
      <c r="AE150" s="6"/>
      <c r="AH150" s="6"/>
      <c r="AI150" s="6"/>
      <c r="AM150" s="5"/>
      <c r="AN150" s="6"/>
      <c r="AQ150" s="6"/>
      <c r="AR150" s="6"/>
    </row>
    <row r="151" spans="3:44" ht="13.2" x14ac:dyDescent="0.25">
      <c r="C151" s="5"/>
      <c r="D151" s="6"/>
      <c r="G151" s="6"/>
      <c r="H151" s="6"/>
      <c r="L151" s="5"/>
      <c r="M151" s="6"/>
      <c r="P151" s="6"/>
      <c r="Q151" s="6"/>
      <c r="U151" s="5"/>
      <c r="V151" s="6"/>
      <c r="Y151" s="6"/>
      <c r="Z151" s="6"/>
      <c r="AD151" s="5"/>
      <c r="AE151" s="6"/>
      <c r="AH151" s="6"/>
      <c r="AI151" s="6"/>
      <c r="AM151" s="5"/>
      <c r="AN151" s="6"/>
      <c r="AQ151" s="6"/>
      <c r="AR151" s="6"/>
    </row>
    <row r="152" spans="3:44" ht="13.2" x14ac:dyDescent="0.25">
      <c r="C152" s="5"/>
      <c r="D152" s="6"/>
      <c r="G152" s="6"/>
      <c r="H152" s="6"/>
      <c r="L152" s="5"/>
      <c r="M152" s="6"/>
      <c r="P152" s="6"/>
      <c r="Q152" s="6"/>
      <c r="U152" s="5"/>
      <c r="V152" s="6"/>
      <c r="Y152" s="6"/>
      <c r="Z152" s="6"/>
      <c r="AD152" s="5"/>
      <c r="AE152" s="6"/>
      <c r="AH152" s="6"/>
      <c r="AI152" s="6"/>
      <c r="AM152" s="5"/>
      <c r="AN152" s="6"/>
      <c r="AQ152" s="6"/>
      <c r="AR152" s="6"/>
    </row>
    <row r="153" spans="3:44" ht="13.2" x14ac:dyDescent="0.25">
      <c r="C153" s="5"/>
      <c r="D153" s="6"/>
      <c r="G153" s="6"/>
      <c r="H153" s="6"/>
      <c r="L153" s="5"/>
      <c r="M153" s="6"/>
      <c r="P153" s="6"/>
      <c r="Q153" s="6"/>
      <c r="U153" s="5"/>
      <c r="V153" s="6"/>
      <c r="Y153" s="6"/>
      <c r="Z153" s="6"/>
      <c r="AD153" s="5"/>
      <c r="AE153" s="6"/>
      <c r="AH153" s="6"/>
      <c r="AI153" s="6"/>
      <c r="AM153" s="5"/>
      <c r="AN153" s="6"/>
      <c r="AQ153" s="6"/>
      <c r="AR153" s="6"/>
    </row>
    <row r="154" spans="3:44" ht="13.2" x14ac:dyDescent="0.25">
      <c r="C154" s="5"/>
      <c r="D154" s="6"/>
      <c r="G154" s="6"/>
      <c r="H154" s="6"/>
      <c r="L154" s="5"/>
      <c r="M154" s="6"/>
      <c r="P154" s="6"/>
      <c r="Q154" s="6"/>
      <c r="U154" s="5"/>
      <c r="V154" s="6"/>
      <c r="Y154" s="6"/>
      <c r="Z154" s="6"/>
      <c r="AD154" s="5"/>
      <c r="AE154" s="6"/>
      <c r="AH154" s="6"/>
      <c r="AI154" s="6"/>
      <c r="AM154" s="5"/>
      <c r="AN154" s="6"/>
      <c r="AQ154" s="6"/>
      <c r="AR154" s="6"/>
    </row>
    <row r="155" spans="3:44" ht="13.2" x14ac:dyDescent="0.25">
      <c r="C155" s="5"/>
      <c r="D155" s="6"/>
      <c r="G155" s="6"/>
      <c r="H155" s="6"/>
      <c r="L155" s="5"/>
      <c r="M155" s="6"/>
      <c r="P155" s="6"/>
      <c r="Q155" s="6"/>
      <c r="U155" s="5"/>
      <c r="V155" s="6"/>
      <c r="Y155" s="6"/>
      <c r="Z155" s="6"/>
      <c r="AD155" s="5"/>
      <c r="AE155" s="6"/>
      <c r="AH155" s="6"/>
      <c r="AI155" s="6"/>
      <c r="AM155" s="5"/>
      <c r="AN155" s="6"/>
      <c r="AQ155" s="6"/>
      <c r="AR155" s="6"/>
    </row>
    <row r="156" spans="3:44" ht="13.2" x14ac:dyDescent="0.25">
      <c r="C156" s="5"/>
      <c r="D156" s="6"/>
      <c r="G156" s="6"/>
      <c r="H156" s="6"/>
      <c r="L156" s="5"/>
      <c r="M156" s="6"/>
      <c r="P156" s="6"/>
      <c r="Q156" s="6"/>
      <c r="U156" s="5"/>
      <c r="V156" s="6"/>
      <c r="Y156" s="6"/>
      <c r="Z156" s="6"/>
      <c r="AD156" s="5"/>
      <c r="AE156" s="6"/>
      <c r="AH156" s="6"/>
      <c r="AI156" s="6"/>
      <c r="AM156" s="5"/>
      <c r="AN156" s="6"/>
      <c r="AQ156" s="6"/>
      <c r="AR156" s="6"/>
    </row>
    <row r="157" spans="3:44" ht="13.2" x14ac:dyDescent="0.25">
      <c r="C157" s="5"/>
      <c r="D157" s="6"/>
      <c r="G157" s="6"/>
      <c r="H157" s="6"/>
      <c r="L157" s="5"/>
      <c r="M157" s="6"/>
      <c r="P157" s="6"/>
      <c r="Q157" s="6"/>
      <c r="U157" s="5"/>
      <c r="V157" s="6"/>
      <c r="Y157" s="6"/>
      <c r="Z157" s="6"/>
      <c r="AD157" s="5"/>
      <c r="AE157" s="6"/>
      <c r="AH157" s="6"/>
      <c r="AI157" s="6"/>
      <c r="AM157" s="5"/>
      <c r="AN157" s="6"/>
      <c r="AQ157" s="6"/>
      <c r="AR157" s="6"/>
    </row>
    <row r="158" spans="3:44" ht="13.2" x14ac:dyDescent="0.25">
      <c r="C158" s="5"/>
      <c r="D158" s="6"/>
      <c r="G158" s="6"/>
      <c r="H158" s="6"/>
      <c r="L158" s="5"/>
      <c r="M158" s="6"/>
      <c r="P158" s="6"/>
      <c r="Q158" s="6"/>
      <c r="U158" s="5"/>
      <c r="V158" s="6"/>
      <c r="Y158" s="6"/>
      <c r="Z158" s="6"/>
      <c r="AD158" s="5"/>
      <c r="AE158" s="6"/>
      <c r="AH158" s="6"/>
      <c r="AI158" s="6"/>
      <c r="AM158" s="5"/>
      <c r="AN158" s="6"/>
      <c r="AQ158" s="6"/>
      <c r="AR158" s="6"/>
    </row>
    <row r="159" spans="3:44" ht="13.2" x14ac:dyDescent="0.25">
      <c r="C159" s="5"/>
      <c r="D159" s="6"/>
      <c r="G159" s="6"/>
      <c r="H159" s="6"/>
      <c r="L159" s="5"/>
      <c r="M159" s="6"/>
      <c r="P159" s="6"/>
      <c r="Q159" s="6"/>
      <c r="U159" s="5"/>
      <c r="V159" s="6"/>
      <c r="Y159" s="6"/>
      <c r="Z159" s="6"/>
      <c r="AD159" s="5"/>
      <c r="AE159" s="6"/>
      <c r="AH159" s="6"/>
      <c r="AI159" s="6"/>
      <c r="AM159" s="5"/>
      <c r="AN159" s="6"/>
      <c r="AQ159" s="6"/>
      <c r="AR159" s="6"/>
    </row>
    <row r="160" spans="3:44" ht="13.2" x14ac:dyDescent="0.25">
      <c r="C160" s="5"/>
      <c r="D160" s="6"/>
      <c r="G160" s="6"/>
      <c r="H160" s="6"/>
      <c r="L160" s="5"/>
      <c r="M160" s="6"/>
      <c r="P160" s="6"/>
      <c r="Q160" s="6"/>
      <c r="U160" s="5"/>
      <c r="V160" s="6"/>
      <c r="Y160" s="6"/>
      <c r="Z160" s="6"/>
      <c r="AD160" s="5"/>
      <c r="AE160" s="6"/>
      <c r="AH160" s="6"/>
      <c r="AI160" s="6"/>
      <c r="AM160" s="5"/>
      <c r="AN160" s="6"/>
      <c r="AQ160" s="6"/>
      <c r="AR160" s="6"/>
    </row>
    <row r="161" spans="3:44" ht="13.2" x14ac:dyDescent="0.25">
      <c r="C161" s="5"/>
      <c r="D161" s="6"/>
      <c r="G161" s="6"/>
      <c r="H161" s="6"/>
      <c r="L161" s="5"/>
      <c r="M161" s="6"/>
      <c r="P161" s="6"/>
      <c r="Q161" s="6"/>
      <c r="U161" s="5"/>
      <c r="V161" s="6"/>
      <c r="Y161" s="6"/>
      <c r="Z161" s="6"/>
      <c r="AD161" s="5"/>
      <c r="AE161" s="6"/>
      <c r="AH161" s="6"/>
      <c r="AI161" s="6"/>
      <c r="AM161" s="5"/>
      <c r="AN161" s="6"/>
      <c r="AQ161" s="6"/>
      <c r="AR161" s="6"/>
    </row>
    <row r="162" spans="3:44" ht="13.2" x14ac:dyDescent="0.25">
      <c r="C162" s="5"/>
      <c r="D162" s="6"/>
      <c r="G162" s="6"/>
      <c r="H162" s="6"/>
      <c r="L162" s="5"/>
      <c r="M162" s="6"/>
      <c r="P162" s="6"/>
      <c r="Q162" s="6"/>
      <c r="U162" s="5"/>
      <c r="V162" s="6"/>
      <c r="Y162" s="6"/>
      <c r="Z162" s="6"/>
      <c r="AD162" s="5"/>
      <c r="AE162" s="6"/>
      <c r="AH162" s="6"/>
      <c r="AI162" s="6"/>
      <c r="AM162" s="5"/>
      <c r="AN162" s="6"/>
      <c r="AQ162" s="6"/>
      <c r="AR162" s="6"/>
    </row>
    <row r="163" spans="3:44" ht="13.2" x14ac:dyDescent="0.25">
      <c r="C163" s="5"/>
      <c r="D163" s="6"/>
      <c r="G163" s="6"/>
      <c r="H163" s="6"/>
      <c r="L163" s="5"/>
      <c r="M163" s="6"/>
      <c r="P163" s="6"/>
      <c r="Q163" s="6"/>
      <c r="U163" s="5"/>
      <c r="V163" s="6"/>
      <c r="Y163" s="6"/>
      <c r="Z163" s="6"/>
      <c r="AD163" s="5"/>
      <c r="AE163" s="6"/>
      <c r="AH163" s="6"/>
      <c r="AI163" s="6"/>
      <c r="AM163" s="5"/>
      <c r="AN163" s="6"/>
      <c r="AQ163" s="6"/>
      <c r="AR163" s="6"/>
    </row>
    <row r="164" spans="3:44" ht="13.2" x14ac:dyDescent="0.25">
      <c r="C164" s="5"/>
      <c r="D164" s="6"/>
      <c r="G164" s="6"/>
      <c r="H164" s="6"/>
      <c r="L164" s="5"/>
      <c r="M164" s="6"/>
      <c r="P164" s="6"/>
      <c r="Q164" s="6"/>
      <c r="U164" s="5"/>
      <c r="V164" s="6"/>
      <c r="Y164" s="6"/>
      <c r="Z164" s="6"/>
      <c r="AD164" s="5"/>
      <c r="AE164" s="6"/>
      <c r="AH164" s="6"/>
      <c r="AI164" s="6"/>
      <c r="AM164" s="5"/>
      <c r="AN164" s="6"/>
      <c r="AQ164" s="6"/>
      <c r="AR164" s="6"/>
    </row>
    <row r="165" spans="3:44" ht="13.2" x14ac:dyDescent="0.25">
      <c r="C165" s="5"/>
      <c r="D165" s="6"/>
      <c r="G165" s="6"/>
      <c r="H165" s="6"/>
      <c r="L165" s="5"/>
      <c r="M165" s="6"/>
      <c r="P165" s="6"/>
      <c r="Q165" s="6"/>
      <c r="U165" s="5"/>
      <c r="V165" s="6"/>
      <c r="Y165" s="6"/>
      <c r="Z165" s="6"/>
      <c r="AD165" s="5"/>
      <c r="AE165" s="6"/>
      <c r="AH165" s="6"/>
      <c r="AI165" s="6"/>
      <c r="AM165" s="5"/>
      <c r="AN165" s="6"/>
      <c r="AQ165" s="6"/>
      <c r="AR165" s="6"/>
    </row>
    <row r="166" spans="3:44" ht="13.2" x14ac:dyDescent="0.25">
      <c r="C166" s="5"/>
      <c r="D166" s="6"/>
      <c r="G166" s="6"/>
      <c r="H166" s="6"/>
      <c r="L166" s="5"/>
      <c r="M166" s="6"/>
      <c r="P166" s="6"/>
      <c r="Q166" s="6"/>
      <c r="U166" s="5"/>
      <c r="V166" s="6"/>
      <c r="Y166" s="6"/>
      <c r="Z166" s="6"/>
      <c r="AD166" s="5"/>
      <c r="AE166" s="6"/>
      <c r="AH166" s="6"/>
      <c r="AI166" s="6"/>
      <c r="AM166" s="5"/>
      <c r="AN166" s="6"/>
      <c r="AQ166" s="6"/>
      <c r="AR166" s="6"/>
    </row>
    <row r="167" spans="3:44" ht="13.2" x14ac:dyDescent="0.25">
      <c r="C167" s="5"/>
      <c r="D167" s="6"/>
      <c r="G167" s="6"/>
      <c r="H167" s="6"/>
      <c r="L167" s="5"/>
      <c r="M167" s="6"/>
      <c r="P167" s="6"/>
      <c r="Q167" s="6"/>
      <c r="U167" s="5"/>
      <c r="V167" s="6"/>
      <c r="Y167" s="6"/>
      <c r="Z167" s="6"/>
      <c r="AD167" s="5"/>
      <c r="AE167" s="6"/>
      <c r="AH167" s="6"/>
      <c r="AI167" s="6"/>
      <c r="AM167" s="5"/>
      <c r="AN167" s="6"/>
      <c r="AQ167" s="6"/>
      <c r="AR167" s="6"/>
    </row>
    <row r="168" spans="3:44" ht="13.2" x14ac:dyDescent="0.25">
      <c r="C168" s="5"/>
      <c r="D168" s="6"/>
      <c r="G168" s="6"/>
      <c r="H168" s="6"/>
      <c r="L168" s="5"/>
      <c r="M168" s="6"/>
      <c r="P168" s="6"/>
      <c r="Q168" s="6"/>
      <c r="U168" s="5"/>
      <c r="V168" s="6"/>
      <c r="Y168" s="6"/>
      <c r="Z168" s="6"/>
      <c r="AD168" s="5"/>
      <c r="AE168" s="6"/>
      <c r="AH168" s="6"/>
      <c r="AI168" s="6"/>
      <c r="AM168" s="5"/>
      <c r="AN168" s="6"/>
      <c r="AQ168" s="6"/>
      <c r="AR168" s="6"/>
    </row>
    <row r="169" spans="3:44" ht="13.2" x14ac:dyDescent="0.25">
      <c r="C169" s="5"/>
      <c r="D169" s="6"/>
      <c r="G169" s="6"/>
      <c r="H169" s="6"/>
      <c r="L169" s="5"/>
      <c r="M169" s="6"/>
      <c r="P169" s="6"/>
      <c r="Q169" s="6"/>
      <c r="U169" s="5"/>
      <c r="V169" s="6"/>
      <c r="Y169" s="6"/>
      <c r="Z169" s="6"/>
      <c r="AD169" s="5"/>
      <c r="AE169" s="6"/>
      <c r="AH169" s="6"/>
      <c r="AI169" s="6"/>
      <c r="AM169" s="5"/>
      <c r="AN169" s="6"/>
      <c r="AQ169" s="6"/>
      <c r="AR169" s="6"/>
    </row>
    <row r="170" spans="3:44" ht="13.2" x14ac:dyDescent="0.25">
      <c r="C170" s="5"/>
      <c r="D170" s="6"/>
      <c r="G170" s="6"/>
      <c r="H170" s="6"/>
      <c r="L170" s="5"/>
      <c r="M170" s="6"/>
      <c r="P170" s="6"/>
      <c r="Q170" s="6"/>
      <c r="U170" s="5"/>
      <c r="V170" s="6"/>
      <c r="Y170" s="6"/>
      <c r="Z170" s="6"/>
      <c r="AD170" s="5"/>
      <c r="AE170" s="6"/>
      <c r="AH170" s="6"/>
      <c r="AI170" s="6"/>
      <c r="AM170" s="5"/>
      <c r="AN170" s="6"/>
      <c r="AQ170" s="6"/>
      <c r="AR170" s="6"/>
    </row>
    <row r="171" spans="3:44" ht="13.2" x14ac:dyDescent="0.25">
      <c r="C171" s="5"/>
      <c r="D171" s="6"/>
      <c r="G171" s="6"/>
      <c r="H171" s="6"/>
      <c r="L171" s="5"/>
      <c r="M171" s="6"/>
      <c r="P171" s="6"/>
      <c r="Q171" s="6"/>
      <c r="U171" s="5"/>
      <c r="V171" s="6"/>
      <c r="Y171" s="6"/>
      <c r="Z171" s="6"/>
      <c r="AD171" s="5"/>
      <c r="AE171" s="6"/>
      <c r="AH171" s="6"/>
      <c r="AI171" s="6"/>
      <c r="AM171" s="5"/>
      <c r="AN171" s="6"/>
      <c r="AQ171" s="6"/>
      <c r="AR171" s="6"/>
    </row>
    <row r="172" spans="3:44" ht="13.2" x14ac:dyDescent="0.25">
      <c r="C172" s="5"/>
      <c r="D172" s="6"/>
      <c r="G172" s="6"/>
      <c r="H172" s="6"/>
      <c r="L172" s="5"/>
      <c r="M172" s="6"/>
      <c r="P172" s="6"/>
      <c r="Q172" s="6"/>
      <c r="U172" s="5"/>
      <c r="V172" s="6"/>
      <c r="Y172" s="6"/>
      <c r="Z172" s="6"/>
      <c r="AD172" s="5"/>
      <c r="AE172" s="6"/>
      <c r="AH172" s="6"/>
      <c r="AI172" s="6"/>
      <c r="AM172" s="5"/>
      <c r="AN172" s="6"/>
      <c r="AQ172" s="6"/>
      <c r="AR172" s="6"/>
    </row>
    <row r="173" spans="3:44" ht="13.2" x14ac:dyDescent="0.25">
      <c r="C173" s="5"/>
      <c r="D173" s="6"/>
      <c r="G173" s="6"/>
      <c r="H173" s="6"/>
      <c r="L173" s="5"/>
      <c r="M173" s="6"/>
      <c r="P173" s="6"/>
      <c r="Q173" s="6"/>
      <c r="U173" s="5"/>
      <c r="V173" s="6"/>
      <c r="Y173" s="6"/>
      <c r="Z173" s="6"/>
      <c r="AD173" s="5"/>
      <c r="AE173" s="6"/>
      <c r="AH173" s="6"/>
      <c r="AI173" s="6"/>
      <c r="AM173" s="5"/>
      <c r="AN173" s="6"/>
      <c r="AQ173" s="6"/>
      <c r="AR173" s="6"/>
    </row>
    <row r="174" spans="3:44" ht="13.2" x14ac:dyDescent="0.25">
      <c r="C174" s="5"/>
      <c r="D174" s="6"/>
      <c r="G174" s="6"/>
      <c r="H174" s="6"/>
      <c r="L174" s="5"/>
      <c r="M174" s="6"/>
      <c r="P174" s="6"/>
      <c r="Q174" s="6"/>
      <c r="U174" s="5"/>
      <c r="V174" s="6"/>
      <c r="Y174" s="6"/>
      <c r="Z174" s="6"/>
      <c r="AD174" s="5"/>
      <c r="AE174" s="6"/>
      <c r="AH174" s="6"/>
      <c r="AI174" s="6"/>
      <c r="AM174" s="5"/>
      <c r="AN174" s="6"/>
      <c r="AQ174" s="6"/>
      <c r="AR174" s="6"/>
    </row>
    <row r="175" spans="3:44" ht="13.2" x14ac:dyDescent="0.25">
      <c r="C175" s="5"/>
      <c r="D175" s="6"/>
      <c r="G175" s="6"/>
      <c r="H175" s="6"/>
      <c r="L175" s="5"/>
      <c r="M175" s="6"/>
      <c r="P175" s="6"/>
      <c r="Q175" s="6"/>
      <c r="U175" s="5"/>
      <c r="V175" s="6"/>
      <c r="Y175" s="6"/>
      <c r="Z175" s="6"/>
      <c r="AD175" s="5"/>
      <c r="AE175" s="6"/>
      <c r="AH175" s="6"/>
      <c r="AI175" s="6"/>
      <c r="AM175" s="5"/>
      <c r="AN175" s="6"/>
      <c r="AQ175" s="6"/>
      <c r="AR175" s="6"/>
    </row>
    <row r="176" spans="3:44" ht="13.2" x14ac:dyDescent="0.25">
      <c r="C176" s="5"/>
      <c r="D176" s="6"/>
      <c r="G176" s="6"/>
      <c r="H176" s="6"/>
      <c r="L176" s="5"/>
      <c r="M176" s="6"/>
      <c r="P176" s="6"/>
      <c r="Q176" s="6"/>
      <c r="U176" s="5"/>
      <c r="V176" s="6"/>
      <c r="Y176" s="6"/>
      <c r="Z176" s="6"/>
      <c r="AD176" s="5"/>
      <c r="AE176" s="6"/>
      <c r="AH176" s="6"/>
      <c r="AI176" s="6"/>
      <c r="AM176" s="5"/>
      <c r="AN176" s="6"/>
      <c r="AQ176" s="6"/>
      <c r="AR176" s="6"/>
    </row>
    <row r="177" spans="3:44" ht="13.2" x14ac:dyDescent="0.25">
      <c r="C177" s="5"/>
      <c r="D177" s="6"/>
      <c r="G177" s="6"/>
      <c r="H177" s="6"/>
      <c r="L177" s="5"/>
      <c r="M177" s="6"/>
      <c r="P177" s="6"/>
      <c r="Q177" s="6"/>
      <c r="U177" s="5"/>
      <c r="V177" s="6"/>
      <c r="Y177" s="6"/>
      <c r="Z177" s="6"/>
      <c r="AD177" s="5"/>
      <c r="AE177" s="6"/>
      <c r="AH177" s="6"/>
      <c r="AI177" s="6"/>
      <c r="AM177" s="5"/>
      <c r="AN177" s="6"/>
      <c r="AQ177" s="6"/>
      <c r="AR177" s="6"/>
    </row>
    <row r="178" spans="3:44" ht="13.2" x14ac:dyDescent="0.25">
      <c r="C178" s="5"/>
      <c r="D178" s="6"/>
      <c r="G178" s="6"/>
      <c r="H178" s="6"/>
      <c r="L178" s="5"/>
      <c r="M178" s="6"/>
      <c r="P178" s="6"/>
      <c r="Q178" s="6"/>
      <c r="U178" s="5"/>
      <c r="V178" s="6"/>
      <c r="Y178" s="6"/>
      <c r="Z178" s="6"/>
      <c r="AD178" s="5"/>
      <c r="AE178" s="6"/>
      <c r="AH178" s="6"/>
      <c r="AI178" s="6"/>
      <c r="AM178" s="5"/>
      <c r="AN178" s="6"/>
      <c r="AQ178" s="6"/>
      <c r="AR178" s="6"/>
    </row>
    <row r="179" spans="3:44" ht="13.2" x14ac:dyDescent="0.25">
      <c r="C179" s="5"/>
      <c r="D179" s="6"/>
      <c r="G179" s="6"/>
      <c r="H179" s="6"/>
      <c r="L179" s="5"/>
      <c r="M179" s="6"/>
      <c r="P179" s="6"/>
      <c r="Q179" s="6"/>
      <c r="U179" s="5"/>
      <c r="V179" s="6"/>
      <c r="Y179" s="6"/>
      <c r="Z179" s="6"/>
      <c r="AD179" s="5"/>
      <c r="AE179" s="6"/>
      <c r="AH179" s="6"/>
      <c r="AI179" s="6"/>
      <c r="AM179" s="5"/>
      <c r="AN179" s="6"/>
      <c r="AQ179" s="6"/>
      <c r="AR179" s="6"/>
    </row>
    <row r="180" spans="3:44" ht="13.2" x14ac:dyDescent="0.25">
      <c r="C180" s="5"/>
      <c r="D180" s="6"/>
      <c r="G180" s="6"/>
      <c r="H180" s="6"/>
      <c r="L180" s="5"/>
      <c r="M180" s="6"/>
      <c r="P180" s="6"/>
      <c r="Q180" s="6"/>
      <c r="U180" s="5"/>
      <c r="V180" s="6"/>
      <c r="Y180" s="6"/>
      <c r="Z180" s="6"/>
      <c r="AD180" s="5"/>
      <c r="AE180" s="6"/>
      <c r="AH180" s="6"/>
      <c r="AI180" s="6"/>
      <c r="AM180" s="5"/>
      <c r="AN180" s="6"/>
      <c r="AQ180" s="6"/>
      <c r="AR180" s="6"/>
    </row>
    <row r="181" spans="3:44" ht="13.2" x14ac:dyDescent="0.25">
      <c r="C181" s="5"/>
      <c r="D181" s="6"/>
      <c r="G181" s="6"/>
      <c r="H181" s="6"/>
      <c r="L181" s="5"/>
      <c r="M181" s="6"/>
      <c r="P181" s="6"/>
      <c r="Q181" s="6"/>
      <c r="U181" s="5"/>
      <c r="V181" s="6"/>
      <c r="Y181" s="6"/>
      <c r="Z181" s="6"/>
      <c r="AD181" s="5"/>
      <c r="AE181" s="6"/>
      <c r="AH181" s="6"/>
      <c r="AI181" s="6"/>
      <c r="AM181" s="5"/>
      <c r="AN181" s="6"/>
      <c r="AQ181" s="6"/>
      <c r="AR181" s="6"/>
    </row>
    <row r="182" spans="3:44" ht="13.2" x14ac:dyDescent="0.25">
      <c r="C182" s="5"/>
      <c r="D182" s="6"/>
      <c r="G182" s="6"/>
      <c r="H182" s="6"/>
      <c r="L182" s="5"/>
      <c r="M182" s="6"/>
      <c r="P182" s="6"/>
      <c r="Q182" s="6"/>
      <c r="U182" s="5"/>
      <c r="V182" s="6"/>
      <c r="Y182" s="6"/>
      <c r="Z182" s="6"/>
      <c r="AD182" s="5"/>
      <c r="AE182" s="6"/>
      <c r="AH182" s="6"/>
      <c r="AI182" s="6"/>
      <c r="AM182" s="5"/>
      <c r="AN182" s="6"/>
      <c r="AQ182" s="6"/>
      <c r="AR182" s="6"/>
    </row>
    <row r="183" spans="3:44" ht="13.2" x14ac:dyDescent="0.25">
      <c r="C183" s="5"/>
      <c r="D183" s="6"/>
      <c r="G183" s="6"/>
      <c r="H183" s="6"/>
      <c r="L183" s="5"/>
      <c r="M183" s="6"/>
      <c r="P183" s="6"/>
      <c r="Q183" s="6"/>
      <c r="U183" s="5"/>
      <c r="V183" s="6"/>
      <c r="Y183" s="6"/>
      <c r="Z183" s="6"/>
      <c r="AD183" s="5"/>
      <c r="AE183" s="6"/>
      <c r="AH183" s="6"/>
      <c r="AI183" s="6"/>
      <c r="AM183" s="5"/>
      <c r="AN183" s="6"/>
      <c r="AQ183" s="6"/>
      <c r="AR183" s="6"/>
    </row>
    <row r="184" spans="3:44" ht="13.2" x14ac:dyDescent="0.25">
      <c r="C184" s="5"/>
      <c r="D184" s="6"/>
      <c r="G184" s="6"/>
      <c r="H184" s="6"/>
      <c r="L184" s="5"/>
      <c r="M184" s="6"/>
      <c r="P184" s="6"/>
      <c r="Q184" s="6"/>
      <c r="U184" s="5"/>
      <c r="V184" s="6"/>
      <c r="Y184" s="6"/>
      <c r="Z184" s="6"/>
      <c r="AD184" s="5"/>
      <c r="AE184" s="6"/>
      <c r="AH184" s="6"/>
      <c r="AI184" s="6"/>
      <c r="AM184" s="5"/>
      <c r="AN184" s="6"/>
      <c r="AQ184" s="6"/>
      <c r="AR184" s="6"/>
    </row>
    <row r="185" spans="3:44" ht="13.2" x14ac:dyDescent="0.25">
      <c r="C185" s="5"/>
      <c r="D185" s="6"/>
      <c r="G185" s="6"/>
      <c r="H185" s="6"/>
      <c r="L185" s="5"/>
      <c r="M185" s="6"/>
      <c r="P185" s="6"/>
      <c r="Q185" s="6"/>
      <c r="U185" s="5"/>
      <c r="V185" s="6"/>
      <c r="Y185" s="6"/>
      <c r="Z185" s="6"/>
      <c r="AD185" s="5"/>
      <c r="AE185" s="6"/>
      <c r="AH185" s="6"/>
      <c r="AI185" s="6"/>
      <c r="AM185" s="5"/>
      <c r="AN185" s="6"/>
      <c r="AQ185" s="6"/>
      <c r="AR185" s="6"/>
    </row>
    <row r="186" spans="3:44" ht="13.2" x14ac:dyDescent="0.25">
      <c r="C186" s="5"/>
      <c r="D186" s="6"/>
      <c r="G186" s="6"/>
      <c r="H186" s="6"/>
      <c r="L186" s="5"/>
      <c r="M186" s="6"/>
      <c r="P186" s="6"/>
      <c r="Q186" s="6"/>
      <c r="U186" s="5"/>
      <c r="V186" s="6"/>
      <c r="Y186" s="6"/>
      <c r="Z186" s="6"/>
      <c r="AD186" s="5"/>
      <c r="AE186" s="6"/>
      <c r="AH186" s="6"/>
      <c r="AI186" s="6"/>
      <c r="AM186" s="5"/>
      <c r="AN186" s="6"/>
      <c r="AQ186" s="6"/>
      <c r="AR186" s="6"/>
    </row>
    <row r="187" spans="3:44" ht="13.2" x14ac:dyDescent="0.25">
      <c r="C187" s="5"/>
      <c r="D187" s="6"/>
      <c r="G187" s="6"/>
      <c r="H187" s="6"/>
      <c r="L187" s="5"/>
      <c r="M187" s="6"/>
      <c r="P187" s="6"/>
      <c r="Q187" s="6"/>
      <c r="U187" s="5"/>
      <c r="V187" s="6"/>
      <c r="Y187" s="6"/>
      <c r="Z187" s="6"/>
      <c r="AD187" s="5"/>
      <c r="AE187" s="6"/>
      <c r="AH187" s="6"/>
      <c r="AI187" s="6"/>
      <c r="AM187" s="5"/>
      <c r="AN187" s="6"/>
      <c r="AQ187" s="6"/>
      <c r="AR187" s="6"/>
    </row>
    <row r="188" spans="3:44" ht="13.2" x14ac:dyDescent="0.25">
      <c r="C188" s="5"/>
      <c r="D188" s="6"/>
      <c r="G188" s="6"/>
      <c r="H188" s="6"/>
      <c r="L188" s="5"/>
      <c r="M188" s="6"/>
      <c r="P188" s="6"/>
      <c r="Q188" s="6"/>
      <c r="U188" s="5"/>
      <c r="V188" s="6"/>
      <c r="Y188" s="6"/>
      <c r="Z188" s="6"/>
      <c r="AD188" s="5"/>
      <c r="AE188" s="6"/>
      <c r="AH188" s="6"/>
      <c r="AI188" s="6"/>
      <c r="AM188" s="5"/>
      <c r="AN188" s="6"/>
      <c r="AQ188" s="6"/>
      <c r="AR188" s="6"/>
    </row>
    <row r="189" spans="3:44" ht="13.2" x14ac:dyDescent="0.25">
      <c r="C189" s="5"/>
      <c r="D189" s="6"/>
      <c r="G189" s="6"/>
      <c r="H189" s="6"/>
      <c r="L189" s="5"/>
      <c r="M189" s="6"/>
      <c r="P189" s="6"/>
      <c r="Q189" s="6"/>
      <c r="U189" s="5"/>
      <c r="V189" s="6"/>
      <c r="Y189" s="6"/>
      <c r="Z189" s="6"/>
      <c r="AD189" s="5"/>
      <c r="AE189" s="6"/>
      <c r="AH189" s="6"/>
      <c r="AI189" s="6"/>
      <c r="AM189" s="5"/>
      <c r="AN189" s="6"/>
      <c r="AQ189" s="6"/>
      <c r="AR189" s="6"/>
    </row>
    <row r="190" spans="3:44" ht="13.2" x14ac:dyDescent="0.25">
      <c r="C190" s="5"/>
      <c r="D190" s="6"/>
      <c r="G190" s="6"/>
      <c r="H190" s="6"/>
      <c r="L190" s="5"/>
      <c r="M190" s="6"/>
      <c r="P190" s="6"/>
      <c r="Q190" s="6"/>
      <c r="U190" s="5"/>
      <c r="V190" s="6"/>
      <c r="Y190" s="6"/>
      <c r="Z190" s="6"/>
      <c r="AD190" s="5"/>
      <c r="AE190" s="6"/>
      <c r="AH190" s="6"/>
      <c r="AI190" s="6"/>
      <c r="AM190" s="5"/>
      <c r="AN190" s="6"/>
      <c r="AQ190" s="6"/>
      <c r="AR190" s="6"/>
    </row>
    <row r="191" spans="3:44" ht="13.2" x14ac:dyDescent="0.25">
      <c r="C191" s="5"/>
      <c r="D191" s="6"/>
      <c r="G191" s="6"/>
      <c r="H191" s="6"/>
      <c r="L191" s="5"/>
      <c r="M191" s="6"/>
      <c r="P191" s="6"/>
      <c r="Q191" s="6"/>
      <c r="U191" s="5"/>
      <c r="V191" s="6"/>
      <c r="Y191" s="6"/>
      <c r="Z191" s="6"/>
      <c r="AD191" s="5"/>
      <c r="AE191" s="6"/>
      <c r="AH191" s="6"/>
      <c r="AI191" s="6"/>
      <c r="AM191" s="5"/>
      <c r="AN191" s="6"/>
      <c r="AQ191" s="6"/>
      <c r="AR191" s="6"/>
    </row>
    <row r="192" spans="3:44" ht="13.2" x14ac:dyDescent="0.25">
      <c r="C192" s="5"/>
      <c r="D192" s="6"/>
      <c r="G192" s="6"/>
      <c r="H192" s="6"/>
      <c r="L192" s="5"/>
      <c r="M192" s="6"/>
      <c r="P192" s="6"/>
      <c r="Q192" s="6"/>
      <c r="U192" s="5"/>
      <c r="V192" s="6"/>
      <c r="Y192" s="6"/>
      <c r="Z192" s="6"/>
      <c r="AD192" s="5"/>
      <c r="AE192" s="6"/>
      <c r="AH192" s="6"/>
      <c r="AI192" s="6"/>
      <c r="AM192" s="5"/>
      <c r="AN192" s="6"/>
      <c r="AQ192" s="6"/>
      <c r="AR192" s="6"/>
    </row>
    <row r="193" spans="3:44" ht="13.2" x14ac:dyDescent="0.25">
      <c r="C193" s="5"/>
      <c r="D193" s="6"/>
      <c r="G193" s="6"/>
      <c r="H193" s="6"/>
      <c r="L193" s="5"/>
      <c r="M193" s="6"/>
      <c r="P193" s="6"/>
      <c r="Q193" s="6"/>
      <c r="U193" s="5"/>
      <c r="V193" s="6"/>
      <c r="Y193" s="6"/>
      <c r="Z193" s="6"/>
      <c r="AD193" s="5"/>
      <c r="AE193" s="6"/>
      <c r="AH193" s="6"/>
      <c r="AI193" s="6"/>
      <c r="AM193" s="5"/>
      <c r="AN193" s="6"/>
      <c r="AQ193" s="6"/>
      <c r="AR193" s="6"/>
    </row>
    <row r="194" spans="3:44" ht="13.2" x14ac:dyDescent="0.25">
      <c r="C194" s="5"/>
      <c r="D194" s="6"/>
      <c r="G194" s="6"/>
      <c r="H194" s="6"/>
      <c r="L194" s="5"/>
      <c r="M194" s="6"/>
      <c r="P194" s="6"/>
      <c r="Q194" s="6"/>
      <c r="U194" s="5"/>
      <c r="V194" s="6"/>
      <c r="Y194" s="6"/>
      <c r="Z194" s="6"/>
      <c r="AD194" s="5"/>
      <c r="AE194" s="6"/>
      <c r="AH194" s="6"/>
      <c r="AI194" s="6"/>
      <c r="AM194" s="5"/>
      <c r="AN194" s="6"/>
      <c r="AQ194" s="6"/>
      <c r="AR194" s="6"/>
    </row>
    <row r="195" spans="3:44" ht="13.2" x14ac:dyDescent="0.25">
      <c r="C195" s="5"/>
      <c r="D195" s="6"/>
      <c r="G195" s="6"/>
      <c r="H195" s="6"/>
      <c r="L195" s="5"/>
      <c r="M195" s="6"/>
      <c r="P195" s="6"/>
      <c r="Q195" s="6"/>
      <c r="U195" s="5"/>
      <c r="V195" s="6"/>
      <c r="Y195" s="6"/>
      <c r="Z195" s="6"/>
      <c r="AD195" s="5"/>
      <c r="AE195" s="6"/>
      <c r="AH195" s="6"/>
      <c r="AI195" s="6"/>
      <c r="AM195" s="5"/>
      <c r="AN195" s="6"/>
      <c r="AQ195" s="6"/>
      <c r="AR195" s="6"/>
    </row>
    <row r="196" spans="3:44" ht="13.2" x14ac:dyDescent="0.25">
      <c r="C196" s="5"/>
      <c r="D196" s="6"/>
      <c r="G196" s="6"/>
      <c r="H196" s="6"/>
      <c r="L196" s="5"/>
      <c r="M196" s="6"/>
      <c r="P196" s="6"/>
      <c r="Q196" s="6"/>
      <c r="U196" s="5"/>
      <c r="V196" s="6"/>
      <c r="Y196" s="6"/>
      <c r="Z196" s="6"/>
      <c r="AD196" s="5"/>
      <c r="AE196" s="6"/>
      <c r="AH196" s="6"/>
      <c r="AI196" s="6"/>
      <c r="AM196" s="5"/>
      <c r="AN196" s="6"/>
      <c r="AQ196" s="6"/>
      <c r="AR196" s="6"/>
    </row>
    <row r="197" spans="3:44" ht="13.2" x14ac:dyDescent="0.25">
      <c r="C197" s="5"/>
      <c r="D197" s="6"/>
      <c r="G197" s="6"/>
      <c r="H197" s="6"/>
      <c r="L197" s="5"/>
      <c r="M197" s="6"/>
      <c r="P197" s="6"/>
      <c r="Q197" s="6"/>
      <c r="U197" s="5"/>
      <c r="V197" s="6"/>
      <c r="Y197" s="6"/>
      <c r="Z197" s="6"/>
      <c r="AD197" s="5"/>
      <c r="AE197" s="6"/>
      <c r="AH197" s="6"/>
      <c r="AI197" s="6"/>
      <c r="AM197" s="5"/>
      <c r="AN197" s="6"/>
      <c r="AQ197" s="6"/>
      <c r="AR197" s="6"/>
    </row>
    <row r="198" spans="3:44" ht="13.2" x14ac:dyDescent="0.25">
      <c r="C198" s="5"/>
      <c r="D198" s="6"/>
      <c r="G198" s="6"/>
      <c r="H198" s="6"/>
      <c r="L198" s="5"/>
      <c r="M198" s="6"/>
      <c r="P198" s="6"/>
      <c r="Q198" s="6"/>
      <c r="U198" s="5"/>
      <c r="V198" s="6"/>
      <c r="Y198" s="6"/>
      <c r="Z198" s="6"/>
      <c r="AD198" s="5"/>
      <c r="AE198" s="6"/>
      <c r="AH198" s="6"/>
      <c r="AI198" s="6"/>
      <c r="AM198" s="5"/>
      <c r="AN198" s="6"/>
      <c r="AQ198" s="6"/>
      <c r="AR198" s="6"/>
    </row>
    <row r="199" spans="3:44" ht="13.2" x14ac:dyDescent="0.25">
      <c r="C199" s="5"/>
      <c r="D199" s="6"/>
      <c r="G199" s="6"/>
      <c r="H199" s="6"/>
      <c r="L199" s="5"/>
      <c r="M199" s="6"/>
      <c r="P199" s="6"/>
      <c r="Q199" s="6"/>
      <c r="U199" s="5"/>
      <c r="V199" s="6"/>
      <c r="Y199" s="6"/>
      <c r="Z199" s="6"/>
      <c r="AD199" s="5"/>
      <c r="AE199" s="6"/>
      <c r="AH199" s="6"/>
      <c r="AI199" s="6"/>
      <c r="AM199" s="5"/>
      <c r="AN199" s="6"/>
      <c r="AQ199" s="6"/>
      <c r="AR199" s="6"/>
    </row>
    <row r="200" spans="3:44" ht="13.2" x14ac:dyDescent="0.25">
      <c r="C200" s="5"/>
      <c r="D200" s="6"/>
      <c r="G200" s="6"/>
      <c r="H200" s="6"/>
      <c r="L200" s="5"/>
      <c r="M200" s="6"/>
      <c r="P200" s="6"/>
      <c r="Q200" s="6"/>
      <c r="U200" s="5"/>
      <c r="V200" s="6"/>
      <c r="Y200" s="6"/>
      <c r="Z200" s="6"/>
      <c r="AD200" s="5"/>
      <c r="AE200" s="6"/>
      <c r="AH200" s="6"/>
      <c r="AI200" s="6"/>
      <c r="AM200" s="5"/>
      <c r="AN200" s="6"/>
      <c r="AQ200" s="6"/>
      <c r="AR200" s="6"/>
    </row>
    <row r="201" spans="3:44" ht="13.2" x14ac:dyDescent="0.25">
      <c r="C201" s="5"/>
      <c r="D201" s="6"/>
      <c r="G201" s="6"/>
      <c r="H201" s="6"/>
      <c r="L201" s="5"/>
      <c r="M201" s="6"/>
      <c r="P201" s="6"/>
      <c r="Q201" s="6"/>
      <c r="U201" s="5"/>
      <c r="V201" s="6"/>
      <c r="Y201" s="6"/>
      <c r="Z201" s="6"/>
      <c r="AD201" s="5"/>
      <c r="AE201" s="6"/>
      <c r="AH201" s="6"/>
      <c r="AI201" s="6"/>
      <c r="AM201" s="5"/>
      <c r="AN201" s="6"/>
      <c r="AQ201" s="6"/>
      <c r="AR201" s="6"/>
    </row>
    <row r="202" spans="3:44" ht="13.2" x14ac:dyDescent="0.25">
      <c r="C202" s="5"/>
      <c r="D202" s="6"/>
      <c r="G202" s="6"/>
      <c r="H202" s="6"/>
      <c r="L202" s="5"/>
      <c r="M202" s="6"/>
      <c r="P202" s="6"/>
      <c r="Q202" s="6"/>
      <c r="U202" s="5"/>
      <c r="V202" s="6"/>
      <c r="Y202" s="6"/>
      <c r="Z202" s="6"/>
      <c r="AD202" s="5"/>
      <c r="AE202" s="6"/>
      <c r="AH202" s="6"/>
      <c r="AI202" s="6"/>
      <c r="AM202" s="5"/>
      <c r="AN202" s="6"/>
      <c r="AQ202" s="6"/>
      <c r="AR202" s="6"/>
    </row>
    <row r="203" spans="3:44" ht="13.2" x14ac:dyDescent="0.25">
      <c r="C203" s="5"/>
      <c r="D203" s="6"/>
      <c r="G203" s="6"/>
      <c r="H203" s="6"/>
      <c r="L203" s="5"/>
      <c r="M203" s="6"/>
      <c r="P203" s="6"/>
      <c r="Q203" s="6"/>
      <c r="U203" s="5"/>
      <c r="V203" s="6"/>
      <c r="Y203" s="6"/>
      <c r="Z203" s="6"/>
      <c r="AD203" s="5"/>
      <c r="AE203" s="6"/>
      <c r="AH203" s="6"/>
      <c r="AI203" s="6"/>
      <c r="AM203" s="5"/>
      <c r="AN203" s="6"/>
      <c r="AQ203" s="6"/>
      <c r="AR203" s="6"/>
    </row>
    <row r="204" spans="3:44" ht="13.2" x14ac:dyDescent="0.25">
      <c r="C204" s="5"/>
      <c r="D204" s="6"/>
      <c r="G204" s="6"/>
      <c r="H204" s="6"/>
      <c r="L204" s="5"/>
      <c r="M204" s="6"/>
      <c r="P204" s="6"/>
      <c r="Q204" s="6"/>
      <c r="U204" s="5"/>
      <c r="V204" s="6"/>
      <c r="Y204" s="6"/>
      <c r="Z204" s="6"/>
      <c r="AD204" s="5"/>
      <c r="AE204" s="6"/>
      <c r="AH204" s="6"/>
      <c r="AI204" s="6"/>
      <c r="AM204" s="5"/>
      <c r="AN204" s="6"/>
      <c r="AQ204" s="6"/>
      <c r="AR204" s="6"/>
    </row>
    <row r="205" spans="3:44" ht="13.2" x14ac:dyDescent="0.25">
      <c r="C205" s="5"/>
      <c r="D205" s="6"/>
      <c r="G205" s="6"/>
      <c r="H205" s="6"/>
      <c r="L205" s="5"/>
      <c r="M205" s="6"/>
      <c r="P205" s="6"/>
      <c r="Q205" s="6"/>
      <c r="U205" s="5"/>
      <c r="V205" s="6"/>
      <c r="Y205" s="6"/>
      <c r="Z205" s="6"/>
      <c r="AD205" s="5"/>
      <c r="AE205" s="6"/>
      <c r="AH205" s="6"/>
      <c r="AI205" s="6"/>
      <c r="AM205" s="5"/>
      <c r="AN205" s="6"/>
      <c r="AQ205" s="6"/>
      <c r="AR205" s="6"/>
    </row>
    <row r="206" spans="3:44" ht="13.2" x14ac:dyDescent="0.25">
      <c r="C206" s="5"/>
      <c r="D206" s="6"/>
      <c r="G206" s="6"/>
      <c r="H206" s="6"/>
      <c r="L206" s="5"/>
      <c r="M206" s="6"/>
      <c r="P206" s="6"/>
      <c r="Q206" s="6"/>
      <c r="U206" s="5"/>
      <c r="V206" s="6"/>
      <c r="Y206" s="6"/>
      <c r="Z206" s="6"/>
      <c r="AD206" s="5"/>
      <c r="AE206" s="6"/>
      <c r="AH206" s="6"/>
      <c r="AI206" s="6"/>
      <c r="AM206" s="5"/>
      <c r="AN206" s="6"/>
      <c r="AQ206" s="6"/>
      <c r="AR206" s="6"/>
    </row>
    <row r="207" spans="3:44" ht="13.2" x14ac:dyDescent="0.25">
      <c r="C207" s="5"/>
      <c r="D207" s="6"/>
      <c r="G207" s="6"/>
      <c r="H207" s="6"/>
      <c r="L207" s="5"/>
      <c r="M207" s="6"/>
      <c r="P207" s="6"/>
      <c r="Q207" s="6"/>
      <c r="U207" s="5"/>
      <c r="V207" s="6"/>
      <c r="Y207" s="6"/>
      <c r="Z207" s="6"/>
      <c r="AD207" s="5"/>
      <c r="AE207" s="6"/>
      <c r="AH207" s="6"/>
      <c r="AI207" s="6"/>
      <c r="AM207" s="5"/>
      <c r="AN207" s="6"/>
      <c r="AQ207" s="6"/>
      <c r="AR207" s="6"/>
    </row>
    <row r="208" spans="3:44" ht="13.2" x14ac:dyDescent="0.25">
      <c r="C208" s="5"/>
      <c r="D208" s="6"/>
      <c r="G208" s="6"/>
      <c r="H208" s="6"/>
      <c r="L208" s="5"/>
      <c r="M208" s="6"/>
      <c r="P208" s="6"/>
      <c r="Q208" s="6"/>
      <c r="U208" s="5"/>
      <c r="V208" s="6"/>
      <c r="Y208" s="6"/>
      <c r="Z208" s="6"/>
      <c r="AD208" s="5"/>
      <c r="AE208" s="6"/>
      <c r="AH208" s="6"/>
      <c r="AI208" s="6"/>
      <c r="AM208" s="5"/>
      <c r="AN208" s="6"/>
      <c r="AQ208" s="6"/>
      <c r="AR208" s="6"/>
    </row>
    <row r="209" spans="3:44" ht="13.2" x14ac:dyDescent="0.25">
      <c r="C209" s="5"/>
      <c r="D209" s="6"/>
      <c r="G209" s="6"/>
      <c r="H209" s="6"/>
      <c r="L209" s="5"/>
      <c r="M209" s="6"/>
      <c r="P209" s="6"/>
      <c r="Q209" s="6"/>
      <c r="U209" s="5"/>
      <c r="V209" s="6"/>
      <c r="Y209" s="6"/>
      <c r="Z209" s="6"/>
      <c r="AD209" s="5"/>
      <c r="AE209" s="6"/>
      <c r="AH209" s="6"/>
      <c r="AI209" s="6"/>
      <c r="AM209" s="5"/>
      <c r="AN209" s="6"/>
      <c r="AQ209" s="6"/>
      <c r="AR209" s="6"/>
    </row>
    <row r="210" spans="3:44" ht="13.2" x14ac:dyDescent="0.25">
      <c r="C210" s="5"/>
      <c r="D210" s="6"/>
      <c r="G210" s="6"/>
      <c r="H210" s="6"/>
      <c r="L210" s="5"/>
      <c r="M210" s="6"/>
      <c r="P210" s="6"/>
      <c r="Q210" s="6"/>
      <c r="U210" s="5"/>
      <c r="V210" s="6"/>
      <c r="Y210" s="6"/>
      <c r="Z210" s="6"/>
      <c r="AD210" s="5"/>
      <c r="AE210" s="6"/>
      <c r="AH210" s="6"/>
      <c r="AI210" s="6"/>
      <c r="AM210" s="5"/>
      <c r="AN210" s="6"/>
      <c r="AQ210" s="6"/>
      <c r="AR210" s="6"/>
    </row>
    <row r="211" spans="3:44" ht="13.2" x14ac:dyDescent="0.25">
      <c r="C211" s="5"/>
      <c r="D211" s="6"/>
      <c r="G211" s="6"/>
      <c r="H211" s="6"/>
      <c r="L211" s="5"/>
      <c r="M211" s="6"/>
      <c r="P211" s="6"/>
      <c r="Q211" s="6"/>
      <c r="U211" s="5"/>
      <c r="V211" s="6"/>
      <c r="Y211" s="6"/>
      <c r="Z211" s="6"/>
      <c r="AD211" s="5"/>
      <c r="AE211" s="6"/>
      <c r="AH211" s="6"/>
      <c r="AI211" s="6"/>
      <c r="AM211" s="5"/>
      <c r="AN211" s="6"/>
      <c r="AQ211" s="6"/>
      <c r="AR211" s="6"/>
    </row>
    <row r="212" spans="3:44" ht="13.2" x14ac:dyDescent="0.25">
      <c r="C212" s="5"/>
      <c r="D212" s="6"/>
      <c r="G212" s="6"/>
      <c r="H212" s="6"/>
      <c r="L212" s="5"/>
      <c r="M212" s="6"/>
      <c r="P212" s="6"/>
      <c r="Q212" s="6"/>
      <c r="U212" s="5"/>
      <c r="V212" s="6"/>
      <c r="Y212" s="6"/>
      <c r="Z212" s="6"/>
      <c r="AD212" s="5"/>
      <c r="AE212" s="6"/>
      <c r="AH212" s="6"/>
      <c r="AI212" s="6"/>
      <c r="AM212" s="5"/>
      <c r="AN212" s="6"/>
      <c r="AQ212" s="6"/>
      <c r="AR212" s="6"/>
    </row>
    <row r="213" spans="3:44" ht="13.2" x14ac:dyDescent="0.25">
      <c r="C213" s="5"/>
      <c r="D213" s="6"/>
      <c r="G213" s="6"/>
      <c r="H213" s="6"/>
      <c r="L213" s="5"/>
      <c r="M213" s="6"/>
      <c r="P213" s="6"/>
      <c r="Q213" s="6"/>
      <c r="U213" s="5"/>
      <c r="V213" s="6"/>
      <c r="Y213" s="6"/>
      <c r="Z213" s="6"/>
      <c r="AD213" s="5"/>
      <c r="AE213" s="6"/>
      <c r="AH213" s="6"/>
      <c r="AI213" s="6"/>
      <c r="AM213" s="5"/>
      <c r="AN213" s="6"/>
      <c r="AQ213" s="6"/>
      <c r="AR213" s="6"/>
    </row>
    <row r="214" spans="3:44" ht="13.2" x14ac:dyDescent="0.25">
      <c r="C214" s="5"/>
      <c r="D214" s="6"/>
      <c r="G214" s="6"/>
      <c r="H214" s="6"/>
      <c r="L214" s="5"/>
      <c r="M214" s="6"/>
      <c r="P214" s="6"/>
      <c r="Q214" s="6"/>
      <c r="U214" s="5"/>
      <c r="V214" s="6"/>
      <c r="Y214" s="6"/>
      <c r="Z214" s="6"/>
      <c r="AD214" s="5"/>
      <c r="AE214" s="6"/>
      <c r="AH214" s="6"/>
      <c r="AI214" s="6"/>
      <c r="AM214" s="5"/>
      <c r="AN214" s="6"/>
      <c r="AQ214" s="6"/>
      <c r="AR214" s="6"/>
    </row>
    <row r="215" spans="3:44" ht="13.2" x14ac:dyDescent="0.25">
      <c r="C215" s="5"/>
      <c r="D215" s="6"/>
      <c r="G215" s="6"/>
      <c r="H215" s="6"/>
      <c r="L215" s="5"/>
      <c r="M215" s="6"/>
      <c r="P215" s="6"/>
      <c r="Q215" s="6"/>
      <c r="U215" s="5"/>
      <c r="V215" s="6"/>
      <c r="Y215" s="6"/>
      <c r="Z215" s="6"/>
      <c r="AD215" s="5"/>
      <c r="AE215" s="6"/>
      <c r="AH215" s="6"/>
      <c r="AI215" s="6"/>
      <c r="AM215" s="5"/>
      <c r="AN215" s="6"/>
      <c r="AQ215" s="6"/>
      <c r="AR215" s="6"/>
    </row>
    <row r="216" spans="3:44" ht="13.2" x14ac:dyDescent="0.25">
      <c r="C216" s="5"/>
      <c r="D216" s="6"/>
      <c r="G216" s="6"/>
      <c r="H216" s="6"/>
      <c r="L216" s="5"/>
      <c r="M216" s="6"/>
      <c r="P216" s="6"/>
      <c r="Q216" s="6"/>
      <c r="U216" s="5"/>
      <c r="V216" s="6"/>
      <c r="Y216" s="6"/>
      <c r="Z216" s="6"/>
      <c r="AD216" s="5"/>
      <c r="AE216" s="6"/>
      <c r="AH216" s="6"/>
      <c r="AI216" s="6"/>
      <c r="AM216" s="5"/>
      <c r="AN216" s="6"/>
      <c r="AQ216" s="6"/>
      <c r="AR216" s="6"/>
    </row>
    <row r="217" spans="3:44" ht="13.2" x14ac:dyDescent="0.25">
      <c r="C217" s="5"/>
      <c r="D217" s="6"/>
      <c r="G217" s="6"/>
      <c r="H217" s="6"/>
      <c r="L217" s="5"/>
      <c r="M217" s="6"/>
      <c r="P217" s="6"/>
      <c r="Q217" s="6"/>
      <c r="U217" s="5"/>
      <c r="V217" s="6"/>
      <c r="Y217" s="6"/>
      <c r="Z217" s="6"/>
      <c r="AD217" s="5"/>
      <c r="AE217" s="6"/>
      <c r="AH217" s="6"/>
      <c r="AI217" s="6"/>
      <c r="AM217" s="5"/>
      <c r="AN217" s="6"/>
      <c r="AQ217" s="6"/>
      <c r="AR217" s="6"/>
    </row>
    <row r="218" spans="3:44" ht="13.2" x14ac:dyDescent="0.25">
      <c r="C218" s="5"/>
      <c r="D218" s="6"/>
      <c r="G218" s="6"/>
      <c r="H218" s="6"/>
      <c r="L218" s="5"/>
      <c r="M218" s="6"/>
      <c r="P218" s="6"/>
      <c r="Q218" s="6"/>
      <c r="U218" s="5"/>
      <c r="V218" s="6"/>
      <c r="Y218" s="6"/>
      <c r="Z218" s="6"/>
      <c r="AD218" s="5"/>
      <c r="AE218" s="6"/>
      <c r="AH218" s="6"/>
      <c r="AI218" s="6"/>
      <c r="AM218" s="5"/>
      <c r="AN218" s="6"/>
      <c r="AQ218" s="6"/>
      <c r="AR218" s="6"/>
    </row>
    <row r="219" spans="3:44" ht="13.2" x14ac:dyDescent="0.25">
      <c r="C219" s="5"/>
      <c r="D219" s="6"/>
      <c r="G219" s="6"/>
      <c r="H219" s="6"/>
      <c r="L219" s="5"/>
      <c r="M219" s="6"/>
      <c r="P219" s="6"/>
      <c r="Q219" s="6"/>
      <c r="U219" s="5"/>
      <c r="V219" s="6"/>
      <c r="Y219" s="6"/>
      <c r="Z219" s="6"/>
      <c r="AD219" s="5"/>
      <c r="AE219" s="6"/>
      <c r="AH219" s="6"/>
      <c r="AI219" s="6"/>
      <c r="AM219" s="5"/>
      <c r="AN219" s="6"/>
      <c r="AQ219" s="6"/>
      <c r="AR219" s="6"/>
    </row>
    <row r="220" spans="3:44" ht="13.2" x14ac:dyDescent="0.25">
      <c r="C220" s="5"/>
      <c r="D220" s="6"/>
      <c r="G220" s="6"/>
      <c r="H220" s="6"/>
      <c r="L220" s="5"/>
      <c r="M220" s="6"/>
      <c r="P220" s="6"/>
      <c r="Q220" s="6"/>
      <c r="U220" s="5"/>
      <c r="V220" s="6"/>
      <c r="Y220" s="6"/>
      <c r="Z220" s="6"/>
      <c r="AD220" s="5"/>
      <c r="AE220" s="6"/>
      <c r="AH220" s="6"/>
      <c r="AI220" s="6"/>
      <c r="AM220" s="5"/>
      <c r="AN220" s="6"/>
      <c r="AQ220" s="6"/>
      <c r="AR220" s="6"/>
    </row>
    <row r="221" spans="3:44" ht="13.2" x14ac:dyDescent="0.25">
      <c r="C221" s="5"/>
      <c r="D221" s="6"/>
      <c r="G221" s="6"/>
      <c r="H221" s="6"/>
      <c r="L221" s="5"/>
      <c r="M221" s="6"/>
      <c r="P221" s="6"/>
      <c r="Q221" s="6"/>
      <c r="U221" s="5"/>
      <c r="V221" s="6"/>
      <c r="Y221" s="6"/>
      <c r="Z221" s="6"/>
      <c r="AD221" s="5"/>
      <c r="AE221" s="6"/>
      <c r="AH221" s="6"/>
      <c r="AI221" s="6"/>
      <c r="AM221" s="5"/>
      <c r="AN221" s="6"/>
      <c r="AQ221" s="6"/>
      <c r="AR221" s="6"/>
    </row>
    <row r="222" spans="3:44" ht="13.2" x14ac:dyDescent="0.25">
      <c r="C222" s="5"/>
      <c r="D222" s="6"/>
      <c r="G222" s="6"/>
      <c r="H222" s="6"/>
      <c r="L222" s="5"/>
      <c r="M222" s="6"/>
      <c r="P222" s="6"/>
      <c r="Q222" s="6"/>
      <c r="U222" s="5"/>
      <c r="V222" s="6"/>
      <c r="Y222" s="6"/>
      <c r="Z222" s="6"/>
      <c r="AD222" s="5"/>
      <c r="AE222" s="6"/>
      <c r="AH222" s="6"/>
      <c r="AI222" s="6"/>
      <c r="AM222" s="5"/>
      <c r="AN222" s="6"/>
      <c r="AQ222" s="6"/>
      <c r="AR222" s="6"/>
    </row>
    <row r="223" spans="3:44" ht="13.2" x14ac:dyDescent="0.25">
      <c r="C223" s="5"/>
      <c r="D223" s="6"/>
      <c r="G223" s="6"/>
      <c r="H223" s="6"/>
      <c r="L223" s="5"/>
      <c r="M223" s="6"/>
      <c r="P223" s="6"/>
      <c r="Q223" s="6"/>
      <c r="U223" s="5"/>
      <c r="V223" s="6"/>
      <c r="Y223" s="6"/>
      <c r="Z223" s="6"/>
      <c r="AD223" s="5"/>
      <c r="AE223" s="6"/>
      <c r="AH223" s="6"/>
      <c r="AI223" s="6"/>
      <c r="AM223" s="5"/>
      <c r="AN223" s="6"/>
      <c r="AQ223" s="6"/>
      <c r="AR223" s="6"/>
    </row>
    <row r="224" spans="3:44" ht="13.2" x14ac:dyDescent="0.25">
      <c r="C224" s="5"/>
      <c r="D224" s="6"/>
      <c r="G224" s="6"/>
      <c r="H224" s="6"/>
      <c r="L224" s="5"/>
      <c r="M224" s="6"/>
      <c r="P224" s="6"/>
      <c r="Q224" s="6"/>
      <c r="U224" s="5"/>
      <c r="V224" s="6"/>
      <c r="Y224" s="6"/>
      <c r="Z224" s="6"/>
      <c r="AD224" s="5"/>
      <c r="AE224" s="6"/>
      <c r="AH224" s="6"/>
      <c r="AI224" s="6"/>
      <c r="AM224" s="5"/>
      <c r="AN224" s="6"/>
      <c r="AQ224" s="6"/>
      <c r="AR224" s="6"/>
    </row>
    <row r="225" spans="3:44" ht="13.2" x14ac:dyDescent="0.25">
      <c r="C225" s="5"/>
      <c r="D225" s="6"/>
      <c r="G225" s="6"/>
      <c r="H225" s="6"/>
      <c r="L225" s="5"/>
      <c r="M225" s="6"/>
      <c r="P225" s="6"/>
      <c r="Q225" s="6"/>
      <c r="U225" s="5"/>
      <c r="V225" s="6"/>
      <c r="Y225" s="6"/>
      <c r="Z225" s="6"/>
      <c r="AD225" s="5"/>
      <c r="AE225" s="6"/>
      <c r="AH225" s="6"/>
      <c r="AI225" s="6"/>
      <c r="AM225" s="5"/>
      <c r="AN225" s="6"/>
      <c r="AQ225" s="6"/>
      <c r="AR225" s="6"/>
    </row>
    <row r="226" spans="3:44" ht="13.2" x14ac:dyDescent="0.25">
      <c r="C226" s="5"/>
      <c r="D226" s="6"/>
      <c r="G226" s="6"/>
      <c r="H226" s="6"/>
      <c r="L226" s="5"/>
      <c r="M226" s="6"/>
      <c r="P226" s="6"/>
      <c r="Q226" s="6"/>
      <c r="U226" s="5"/>
      <c r="V226" s="6"/>
      <c r="Y226" s="6"/>
      <c r="Z226" s="6"/>
      <c r="AD226" s="5"/>
      <c r="AE226" s="6"/>
      <c r="AH226" s="6"/>
      <c r="AI226" s="6"/>
      <c r="AM226" s="5"/>
      <c r="AN226" s="6"/>
      <c r="AQ226" s="6"/>
      <c r="AR226" s="6"/>
    </row>
    <row r="227" spans="3:44" ht="13.2" x14ac:dyDescent="0.25">
      <c r="C227" s="5"/>
      <c r="D227" s="6"/>
      <c r="G227" s="6"/>
      <c r="H227" s="6"/>
      <c r="L227" s="5"/>
      <c r="M227" s="6"/>
      <c r="P227" s="6"/>
      <c r="Q227" s="6"/>
      <c r="U227" s="5"/>
      <c r="V227" s="6"/>
      <c r="Y227" s="6"/>
      <c r="Z227" s="6"/>
      <c r="AD227" s="5"/>
      <c r="AE227" s="6"/>
      <c r="AH227" s="6"/>
      <c r="AI227" s="6"/>
      <c r="AM227" s="5"/>
      <c r="AN227" s="6"/>
      <c r="AQ227" s="6"/>
      <c r="AR227" s="6"/>
    </row>
    <row r="228" spans="3:44" ht="13.2" x14ac:dyDescent="0.25">
      <c r="C228" s="5"/>
      <c r="D228" s="6"/>
      <c r="G228" s="6"/>
      <c r="H228" s="6"/>
      <c r="L228" s="5"/>
      <c r="M228" s="6"/>
      <c r="P228" s="6"/>
      <c r="Q228" s="6"/>
      <c r="U228" s="5"/>
      <c r="V228" s="6"/>
      <c r="Y228" s="6"/>
      <c r="Z228" s="6"/>
      <c r="AD228" s="5"/>
      <c r="AE228" s="6"/>
      <c r="AH228" s="6"/>
      <c r="AI228" s="6"/>
      <c r="AM228" s="5"/>
      <c r="AN228" s="6"/>
      <c r="AQ228" s="6"/>
      <c r="AR228" s="6"/>
    </row>
    <row r="229" spans="3:44" ht="13.2" x14ac:dyDescent="0.25">
      <c r="C229" s="5"/>
      <c r="D229" s="6"/>
      <c r="G229" s="6"/>
      <c r="H229" s="6"/>
      <c r="L229" s="5"/>
      <c r="M229" s="6"/>
      <c r="P229" s="6"/>
      <c r="Q229" s="6"/>
      <c r="U229" s="5"/>
      <c r="V229" s="6"/>
      <c r="Y229" s="6"/>
      <c r="Z229" s="6"/>
      <c r="AD229" s="5"/>
      <c r="AE229" s="6"/>
      <c r="AH229" s="6"/>
      <c r="AI229" s="6"/>
      <c r="AM229" s="5"/>
      <c r="AN229" s="6"/>
      <c r="AQ229" s="6"/>
      <c r="AR229" s="6"/>
    </row>
    <row r="230" spans="3:44" ht="13.2" x14ac:dyDescent="0.25">
      <c r="C230" s="5"/>
      <c r="D230" s="6"/>
      <c r="G230" s="6"/>
      <c r="H230" s="6"/>
      <c r="L230" s="5"/>
      <c r="M230" s="6"/>
      <c r="P230" s="6"/>
      <c r="Q230" s="6"/>
      <c r="U230" s="5"/>
      <c r="V230" s="6"/>
      <c r="Y230" s="6"/>
      <c r="Z230" s="6"/>
      <c r="AD230" s="5"/>
      <c r="AE230" s="6"/>
      <c r="AH230" s="6"/>
      <c r="AI230" s="6"/>
      <c r="AM230" s="5"/>
      <c r="AN230" s="6"/>
      <c r="AQ230" s="6"/>
      <c r="AR230" s="6"/>
    </row>
    <row r="231" spans="3:44" ht="13.2" x14ac:dyDescent="0.25">
      <c r="C231" s="5"/>
      <c r="D231" s="6"/>
      <c r="G231" s="6"/>
      <c r="H231" s="6"/>
      <c r="L231" s="5"/>
      <c r="M231" s="6"/>
      <c r="P231" s="6"/>
      <c r="Q231" s="6"/>
      <c r="U231" s="5"/>
      <c r="V231" s="6"/>
      <c r="Y231" s="6"/>
      <c r="Z231" s="6"/>
      <c r="AD231" s="5"/>
      <c r="AE231" s="6"/>
      <c r="AH231" s="6"/>
      <c r="AI231" s="6"/>
      <c r="AM231" s="5"/>
      <c r="AN231" s="6"/>
      <c r="AQ231" s="6"/>
      <c r="AR231" s="6"/>
    </row>
    <row r="232" spans="3:44" ht="13.2" x14ac:dyDescent="0.25">
      <c r="C232" s="5"/>
      <c r="D232" s="6"/>
      <c r="G232" s="6"/>
      <c r="H232" s="6"/>
      <c r="L232" s="5"/>
      <c r="M232" s="6"/>
      <c r="P232" s="6"/>
      <c r="Q232" s="6"/>
      <c r="U232" s="5"/>
      <c r="V232" s="6"/>
      <c r="Y232" s="6"/>
      <c r="Z232" s="6"/>
      <c r="AD232" s="5"/>
      <c r="AE232" s="6"/>
      <c r="AH232" s="6"/>
      <c r="AI232" s="6"/>
      <c r="AM232" s="5"/>
      <c r="AN232" s="6"/>
      <c r="AQ232" s="6"/>
      <c r="AR232" s="6"/>
    </row>
    <row r="233" spans="3:44" ht="13.2" x14ac:dyDescent="0.25">
      <c r="C233" s="5"/>
      <c r="D233" s="6"/>
      <c r="G233" s="6"/>
      <c r="H233" s="6"/>
      <c r="L233" s="5"/>
      <c r="M233" s="6"/>
      <c r="P233" s="6"/>
      <c r="Q233" s="6"/>
      <c r="U233" s="5"/>
      <c r="V233" s="6"/>
      <c r="Y233" s="6"/>
      <c r="Z233" s="6"/>
      <c r="AD233" s="5"/>
      <c r="AE233" s="6"/>
      <c r="AH233" s="6"/>
      <c r="AI233" s="6"/>
      <c r="AM233" s="5"/>
      <c r="AN233" s="6"/>
      <c r="AQ233" s="6"/>
      <c r="AR233" s="6"/>
    </row>
    <row r="234" spans="3:44" ht="13.2" x14ac:dyDescent="0.25">
      <c r="C234" s="5"/>
      <c r="D234" s="6"/>
      <c r="G234" s="6"/>
      <c r="H234" s="6"/>
      <c r="L234" s="5"/>
      <c r="M234" s="6"/>
      <c r="P234" s="6"/>
      <c r="Q234" s="6"/>
      <c r="U234" s="5"/>
      <c r="V234" s="6"/>
      <c r="Y234" s="6"/>
      <c r="Z234" s="6"/>
      <c r="AD234" s="5"/>
      <c r="AE234" s="6"/>
      <c r="AH234" s="6"/>
      <c r="AI234" s="6"/>
      <c r="AM234" s="5"/>
      <c r="AN234" s="6"/>
      <c r="AQ234" s="6"/>
      <c r="AR234" s="6"/>
    </row>
    <row r="235" spans="3:44" ht="13.2" x14ac:dyDescent="0.25">
      <c r="C235" s="5"/>
      <c r="D235" s="6"/>
      <c r="G235" s="6"/>
      <c r="H235" s="6"/>
      <c r="L235" s="5"/>
      <c r="M235" s="6"/>
      <c r="P235" s="6"/>
      <c r="Q235" s="6"/>
      <c r="U235" s="5"/>
      <c r="V235" s="6"/>
      <c r="Y235" s="6"/>
      <c r="Z235" s="6"/>
      <c r="AD235" s="5"/>
      <c r="AE235" s="6"/>
      <c r="AH235" s="6"/>
      <c r="AI235" s="6"/>
      <c r="AM235" s="5"/>
      <c r="AN235" s="6"/>
      <c r="AQ235" s="6"/>
      <c r="AR235" s="6"/>
    </row>
    <row r="236" spans="3:44" ht="13.2" x14ac:dyDescent="0.25">
      <c r="C236" s="5"/>
      <c r="D236" s="6"/>
      <c r="G236" s="6"/>
      <c r="H236" s="6"/>
      <c r="L236" s="5"/>
      <c r="M236" s="6"/>
      <c r="P236" s="6"/>
      <c r="Q236" s="6"/>
      <c r="U236" s="5"/>
      <c r="V236" s="6"/>
      <c r="Y236" s="6"/>
      <c r="Z236" s="6"/>
      <c r="AD236" s="5"/>
      <c r="AE236" s="6"/>
      <c r="AH236" s="6"/>
      <c r="AI236" s="6"/>
      <c r="AM236" s="5"/>
      <c r="AN236" s="6"/>
      <c r="AQ236" s="6"/>
      <c r="AR236" s="6"/>
    </row>
    <row r="237" spans="3:44" ht="13.2" x14ac:dyDescent="0.25">
      <c r="C237" s="5"/>
      <c r="D237" s="6"/>
      <c r="G237" s="6"/>
      <c r="H237" s="6"/>
      <c r="L237" s="5"/>
      <c r="M237" s="6"/>
      <c r="P237" s="6"/>
      <c r="Q237" s="6"/>
      <c r="U237" s="5"/>
      <c r="V237" s="6"/>
      <c r="Y237" s="6"/>
      <c r="Z237" s="6"/>
      <c r="AD237" s="5"/>
      <c r="AE237" s="6"/>
      <c r="AH237" s="6"/>
      <c r="AI237" s="6"/>
      <c r="AM237" s="5"/>
      <c r="AN237" s="6"/>
      <c r="AQ237" s="6"/>
      <c r="AR237" s="6"/>
    </row>
    <row r="238" spans="3:44" ht="13.2" x14ac:dyDescent="0.25">
      <c r="C238" s="5"/>
      <c r="D238" s="6"/>
      <c r="G238" s="6"/>
      <c r="H238" s="6"/>
      <c r="L238" s="5"/>
      <c r="M238" s="6"/>
      <c r="P238" s="6"/>
      <c r="Q238" s="6"/>
      <c r="U238" s="5"/>
      <c r="V238" s="6"/>
      <c r="Y238" s="6"/>
      <c r="Z238" s="6"/>
      <c r="AD238" s="5"/>
      <c r="AE238" s="6"/>
      <c r="AH238" s="6"/>
      <c r="AI238" s="6"/>
      <c r="AM238" s="5"/>
      <c r="AN238" s="6"/>
      <c r="AQ238" s="6"/>
      <c r="AR238" s="6"/>
    </row>
    <row r="239" spans="3:44" ht="13.2" x14ac:dyDescent="0.25">
      <c r="C239" s="5"/>
      <c r="D239" s="6"/>
      <c r="G239" s="6"/>
      <c r="H239" s="6"/>
      <c r="L239" s="5"/>
      <c r="M239" s="6"/>
      <c r="P239" s="6"/>
      <c r="Q239" s="6"/>
      <c r="U239" s="5"/>
      <c r="V239" s="6"/>
      <c r="Y239" s="6"/>
      <c r="Z239" s="6"/>
      <c r="AD239" s="5"/>
      <c r="AE239" s="6"/>
      <c r="AH239" s="6"/>
      <c r="AI239" s="6"/>
      <c r="AM239" s="5"/>
      <c r="AN239" s="6"/>
      <c r="AQ239" s="6"/>
      <c r="AR239" s="6"/>
    </row>
    <row r="240" spans="3:44" ht="13.2" x14ac:dyDescent="0.25">
      <c r="C240" s="5"/>
      <c r="D240" s="6"/>
      <c r="G240" s="6"/>
      <c r="H240" s="6"/>
      <c r="L240" s="5"/>
      <c r="M240" s="6"/>
      <c r="P240" s="6"/>
      <c r="Q240" s="6"/>
      <c r="U240" s="5"/>
      <c r="V240" s="6"/>
      <c r="Y240" s="6"/>
      <c r="Z240" s="6"/>
      <c r="AD240" s="5"/>
      <c r="AE240" s="6"/>
      <c r="AH240" s="6"/>
      <c r="AI240" s="6"/>
      <c r="AM240" s="5"/>
      <c r="AN240" s="6"/>
      <c r="AQ240" s="6"/>
      <c r="AR240" s="6"/>
    </row>
    <row r="241" spans="3:44" ht="13.2" x14ac:dyDescent="0.25">
      <c r="C241" s="5"/>
      <c r="D241" s="6"/>
      <c r="G241" s="6"/>
      <c r="H241" s="6"/>
      <c r="L241" s="5"/>
      <c r="M241" s="6"/>
      <c r="P241" s="6"/>
      <c r="Q241" s="6"/>
      <c r="U241" s="5"/>
      <c r="V241" s="6"/>
      <c r="Y241" s="6"/>
      <c r="Z241" s="6"/>
      <c r="AD241" s="5"/>
      <c r="AE241" s="6"/>
      <c r="AH241" s="6"/>
      <c r="AI241" s="6"/>
      <c r="AM241" s="5"/>
      <c r="AN241" s="6"/>
      <c r="AQ241" s="6"/>
      <c r="AR241" s="6"/>
    </row>
    <row r="242" spans="3:44" ht="13.2" x14ac:dyDescent="0.25">
      <c r="C242" s="5"/>
      <c r="D242" s="6"/>
      <c r="G242" s="6"/>
      <c r="H242" s="6"/>
      <c r="L242" s="5"/>
      <c r="M242" s="6"/>
      <c r="P242" s="6"/>
      <c r="Q242" s="6"/>
      <c r="U242" s="5"/>
      <c r="V242" s="6"/>
      <c r="Y242" s="6"/>
      <c r="Z242" s="6"/>
      <c r="AD242" s="5"/>
      <c r="AE242" s="6"/>
      <c r="AH242" s="6"/>
      <c r="AI242" s="6"/>
      <c r="AM242" s="5"/>
      <c r="AN242" s="6"/>
      <c r="AQ242" s="6"/>
      <c r="AR242" s="6"/>
    </row>
    <row r="243" spans="3:44" ht="13.2" x14ac:dyDescent="0.25">
      <c r="C243" s="5"/>
      <c r="D243" s="6"/>
      <c r="G243" s="6"/>
      <c r="H243" s="6"/>
      <c r="L243" s="5"/>
      <c r="M243" s="6"/>
      <c r="P243" s="6"/>
      <c r="Q243" s="6"/>
      <c r="U243" s="5"/>
      <c r="V243" s="6"/>
      <c r="Y243" s="6"/>
      <c r="Z243" s="6"/>
      <c r="AD243" s="5"/>
      <c r="AE243" s="6"/>
      <c r="AH243" s="6"/>
      <c r="AI243" s="6"/>
      <c r="AM243" s="5"/>
      <c r="AN243" s="6"/>
      <c r="AQ243" s="6"/>
      <c r="AR243" s="6"/>
    </row>
    <row r="244" spans="3:44" ht="13.2" x14ac:dyDescent="0.25">
      <c r="C244" s="5"/>
      <c r="D244" s="6"/>
      <c r="G244" s="6"/>
      <c r="H244" s="6"/>
      <c r="L244" s="5"/>
      <c r="M244" s="6"/>
      <c r="P244" s="6"/>
      <c r="Q244" s="6"/>
      <c r="U244" s="5"/>
      <c r="V244" s="6"/>
      <c r="Y244" s="6"/>
      <c r="Z244" s="6"/>
      <c r="AD244" s="5"/>
      <c r="AE244" s="6"/>
      <c r="AH244" s="6"/>
      <c r="AI244" s="6"/>
      <c r="AM244" s="5"/>
      <c r="AN244" s="6"/>
      <c r="AQ244" s="6"/>
      <c r="AR244" s="6"/>
    </row>
    <row r="245" spans="3:44" ht="13.2" x14ac:dyDescent="0.25">
      <c r="C245" s="5"/>
      <c r="D245" s="6"/>
      <c r="G245" s="6"/>
      <c r="H245" s="6"/>
      <c r="L245" s="5"/>
      <c r="M245" s="6"/>
      <c r="P245" s="6"/>
      <c r="Q245" s="6"/>
      <c r="U245" s="5"/>
      <c r="V245" s="6"/>
      <c r="Y245" s="6"/>
      <c r="Z245" s="6"/>
      <c r="AD245" s="5"/>
      <c r="AE245" s="6"/>
      <c r="AH245" s="6"/>
      <c r="AI245" s="6"/>
      <c r="AM245" s="5"/>
      <c r="AN245" s="6"/>
      <c r="AQ245" s="6"/>
      <c r="AR245" s="6"/>
    </row>
    <row r="246" spans="3:44" ht="13.2" x14ac:dyDescent="0.25">
      <c r="C246" s="5"/>
      <c r="D246" s="6"/>
      <c r="G246" s="6"/>
      <c r="H246" s="6"/>
      <c r="L246" s="5"/>
      <c r="M246" s="6"/>
      <c r="P246" s="6"/>
      <c r="Q246" s="6"/>
      <c r="U246" s="5"/>
      <c r="V246" s="6"/>
      <c r="Y246" s="6"/>
      <c r="Z246" s="6"/>
      <c r="AD246" s="5"/>
      <c r="AE246" s="6"/>
      <c r="AH246" s="6"/>
      <c r="AI246" s="6"/>
      <c r="AM246" s="5"/>
      <c r="AN246" s="6"/>
      <c r="AQ246" s="6"/>
      <c r="AR246" s="6"/>
    </row>
    <row r="247" spans="3:44" ht="13.2" x14ac:dyDescent="0.25">
      <c r="C247" s="5"/>
      <c r="D247" s="6"/>
      <c r="G247" s="6"/>
      <c r="H247" s="6"/>
      <c r="L247" s="5"/>
      <c r="M247" s="6"/>
      <c r="P247" s="6"/>
      <c r="Q247" s="6"/>
      <c r="U247" s="5"/>
      <c r="V247" s="6"/>
      <c r="Y247" s="6"/>
      <c r="Z247" s="6"/>
      <c r="AD247" s="5"/>
      <c r="AE247" s="6"/>
      <c r="AH247" s="6"/>
      <c r="AI247" s="6"/>
      <c r="AM247" s="5"/>
      <c r="AN247" s="6"/>
      <c r="AQ247" s="6"/>
      <c r="AR247" s="6"/>
    </row>
    <row r="248" spans="3:44" ht="13.2" x14ac:dyDescent="0.25">
      <c r="C248" s="5"/>
      <c r="D248" s="6"/>
      <c r="G248" s="6"/>
      <c r="H248" s="6"/>
      <c r="L248" s="5"/>
      <c r="M248" s="6"/>
      <c r="P248" s="6"/>
      <c r="Q248" s="6"/>
      <c r="U248" s="5"/>
      <c r="V248" s="6"/>
      <c r="Y248" s="6"/>
      <c r="Z248" s="6"/>
      <c r="AD248" s="5"/>
      <c r="AE248" s="6"/>
      <c r="AH248" s="6"/>
      <c r="AI248" s="6"/>
      <c r="AM248" s="5"/>
      <c r="AN248" s="6"/>
      <c r="AQ248" s="6"/>
      <c r="AR248" s="6"/>
    </row>
    <row r="249" spans="3:44" ht="13.2" x14ac:dyDescent="0.25">
      <c r="C249" s="5"/>
      <c r="D249" s="6"/>
      <c r="G249" s="6"/>
      <c r="H249" s="6"/>
      <c r="L249" s="5"/>
      <c r="M249" s="6"/>
      <c r="P249" s="6"/>
      <c r="Q249" s="6"/>
      <c r="U249" s="5"/>
      <c r="V249" s="6"/>
      <c r="Y249" s="6"/>
      <c r="Z249" s="6"/>
      <c r="AD249" s="5"/>
      <c r="AE249" s="6"/>
      <c r="AH249" s="6"/>
      <c r="AI249" s="6"/>
      <c r="AM249" s="5"/>
      <c r="AN249" s="6"/>
      <c r="AQ249" s="6"/>
      <c r="AR249" s="6"/>
    </row>
    <row r="250" spans="3:44" ht="13.2" x14ac:dyDescent="0.25">
      <c r="C250" s="5"/>
      <c r="D250" s="6"/>
      <c r="G250" s="6"/>
      <c r="H250" s="6"/>
      <c r="L250" s="5"/>
      <c r="M250" s="6"/>
      <c r="P250" s="6"/>
      <c r="Q250" s="6"/>
      <c r="U250" s="5"/>
      <c r="V250" s="6"/>
      <c r="Y250" s="6"/>
      <c r="Z250" s="6"/>
      <c r="AD250" s="5"/>
      <c r="AE250" s="6"/>
      <c r="AH250" s="6"/>
      <c r="AI250" s="6"/>
      <c r="AM250" s="5"/>
      <c r="AN250" s="6"/>
      <c r="AQ250" s="6"/>
      <c r="AR250" s="6"/>
    </row>
    <row r="251" spans="3:44" ht="13.2" x14ac:dyDescent="0.25">
      <c r="C251" s="5"/>
      <c r="D251" s="6"/>
      <c r="G251" s="6"/>
      <c r="H251" s="6"/>
      <c r="L251" s="5"/>
      <c r="M251" s="6"/>
      <c r="P251" s="6"/>
      <c r="Q251" s="6"/>
      <c r="U251" s="5"/>
      <c r="V251" s="6"/>
      <c r="Y251" s="6"/>
      <c r="Z251" s="6"/>
      <c r="AD251" s="5"/>
      <c r="AE251" s="6"/>
      <c r="AH251" s="6"/>
      <c r="AI251" s="6"/>
      <c r="AM251" s="5"/>
      <c r="AN251" s="6"/>
      <c r="AQ251" s="6"/>
      <c r="AR251" s="6"/>
    </row>
    <row r="252" spans="3:44" ht="13.2" x14ac:dyDescent="0.25">
      <c r="C252" s="5"/>
      <c r="D252" s="6"/>
      <c r="G252" s="6"/>
      <c r="H252" s="6"/>
      <c r="L252" s="5"/>
      <c r="M252" s="6"/>
      <c r="P252" s="6"/>
      <c r="Q252" s="6"/>
      <c r="U252" s="5"/>
      <c r="V252" s="6"/>
      <c r="Y252" s="6"/>
      <c r="Z252" s="6"/>
      <c r="AD252" s="5"/>
      <c r="AE252" s="6"/>
      <c r="AH252" s="6"/>
      <c r="AI252" s="6"/>
      <c r="AM252" s="5"/>
      <c r="AN252" s="6"/>
      <c r="AQ252" s="6"/>
      <c r="AR252" s="6"/>
    </row>
    <row r="253" spans="3:44" ht="13.2" x14ac:dyDescent="0.25">
      <c r="C253" s="5"/>
      <c r="D253" s="6"/>
      <c r="G253" s="6"/>
      <c r="H253" s="6"/>
      <c r="L253" s="5"/>
      <c r="M253" s="6"/>
      <c r="P253" s="6"/>
      <c r="Q253" s="6"/>
      <c r="U253" s="5"/>
      <c r="V253" s="6"/>
      <c r="Y253" s="6"/>
      <c r="Z253" s="6"/>
      <c r="AD253" s="5"/>
      <c r="AE253" s="6"/>
      <c r="AH253" s="6"/>
      <c r="AI253" s="6"/>
      <c r="AM253" s="5"/>
      <c r="AN253" s="6"/>
      <c r="AQ253" s="6"/>
      <c r="AR253" s="6"/>
    </row>
    <row r="254" spans="3:44" ht="13.2" x14ac:dyDescent="0.25">
      <c r="C254" s="5"/>
      <c r="D254" s="6"/>
      <c r="G254" s="6"/>
      <c r="H254" s="6"/>
      <c r="L254" s="5"/>
      <c r="M254" s="6"/>
      <c r="P254" s="6"/>
      <c r="Q254" s="6"/>
      <c r="U254" s="5"/>
      <c r="V254" s="6"/>
      <c r="Y254" s="6"/>
      <c r="Z254" s="6"/>
      <c r="AD254" s="5"/>
      <c r="AE254" s="6"/>
      <c r="AH254" s="6"/>
      <c r="AI254" s="6"/>
      <c r="AM254" s="5"/>
      <c r="AN254" s="6"/>
      <c r="AQ254" s="6"/>
      <c r="AR254" s="6"/>
    </row>
    <row r="255" spans="3:44" ht="13.2" x14ac:dyDescent="0.25">
      <c r="C255" s="5"/>
      <c r="D255" s="6"/>
      <c r="G255" s="6"/>
      <c r="H255" s="6"/>
      <c r="L255" s="5"/>
      <c r="M255" s="6"/>
      <c r="P255" s="6"/>
      <c r="Q255" s="6"/>
      <c r="U255" s="5"/>
      <c r="V255" s="6"/>
      <c r="Y255" s="6"/>
      <c r="Z255" s="6"/>
      <c r="AD255" s="5"/>
      <c r="AE255" s="6"/>
      <c r="AH255" s="6"/>
      <c r="AI255" s="6"/>
      <c r="AM255" s="5"/>
      <c r="AN255" s="6"/>
      <c r="AQ255" s="6"/>
      <c r="AR255" s="6"/>
    </row>
    <row r="256" spans="3:44" ht="13.2" x14ac:dyDescent="0.25">
      <c r="C256" s="5"/>
      <c r="D256" s="6"/>
      <c r="G256" s="6"/>
      <c r="H256" s="6"/>
      <c r="L256" s="5"/>
      <c r="M256" s="6"/>
      <c r="P256" s="6"/>
      <c r="Q256" s="6"/>
      <c r="U256" s="5"/>
      <c r="V256" s="6"/>
      <c r="Y256" s="6"/>
      <c r="Z256" s="6"/>
      <c r="AD256" s="5"/>
      <c r="AE256" s="6"/>
      <c r="AH256" s="6"/>
      <c r="AI256" s="6"/>
      <c r="AM256" s="5"/>
      <c r="AN256" s="6"/>
      <c r="AQ256" s="6"/>
      <c r="AR256" s="6"/>
    </row>
    <row r="257" spans="3:44" ht="13.2" x14ac:dyDescent="0.25">
      <c r="C257" s="5"/>
      <c r="D257" s="6"/>
      <c r="G257" s="6"/>
      <c r="H257" s="6"/>
      <c r="L257" s="5"/>
      <c r="M257" s="6"/>
      <c r="P257" s="6"/>
      <c r="Q257" s="6"/>
      <c r="U257" s="5"/>
      <c r="V257" s="6"/>
      <c r="Y257" s="6"/>
      <c r="Z257" s="6"/>
      <c r="AD257" s="5"/>
      <c r="AE257" s="6"/>
      <c r="AH257" s="6"/>
      <c r="AI257" s="6"/>
      <c r="AM257" s="5"/>
      <c r="AN257" s="6"/>
      <c r="AQ257" s="6"/>
      <c r="AR257" s="6"/>
    </row>
    <row r="258" spans="3:44" ht="13.2" x14ac:dyDescent="0.25">
      <c r="C258" s="5"/>
      <c r="D258" s="6"/>
      <c r="G258" s="6"/>
      <c r="H258" s="6"/>
      <c r="L258" s="5"/>
      <c r="M258" s="6"/>
      <c r="P258" s="6"/>
      <c r="Q258" s="6"/>
      <c r="U258" s="5"/>
      <c r="V258" s="6"/>
      <c r="Y258" s="6"/>
      <c r="Z258" s="6"/>
      <c r="AD258" s="5"/>
      <c r="AE258" s="6"/>
      <c r="AH258" s="6"/>
      <c r="AI258" s="6"/>
      <c r="AM258" s="5"/>
      <c r="AN258" s="6"/>
      <c r="AQ258" s="6"/>
      <c r="AR258" s="6"/>
    </row>
    <row r="259" spans="3:44" ht="13.2" x14ac:dyDescent="0.25">
      <c r="C259" s="5"/>
      <c r="D259" s="6"/>
      <c r="G259" s="6"/>
      <c r="H259" s="6"/>
      <c r="L259" s="5"/>
      <c r="M259" s="6"/>
      <c r="P259" s="6"/>
      <c r="Q259" s="6"/>
      <c r="U259" s="5"/>
      <c r="V259" s="6"/>
      <c r="Y259" s="6"/>
      <c r="Z259" s="6"/>
      <c r="AD259" s="5"/>
      <c r="AE259" s="6"/>
      <c r="AH259" s="6"/>
      <c r="AI259" s="6"/>
      <c r="AM259" s="5"/>
      <c r="AN259" s="6"/>
      <c r="AQ259" s="6"/>
      <c r="AR259" s="6"/>
    </row>
    <row r="260" spans="3:44" ht="13.2" x14ac:dyDescent="0.25">
      <c r="C260" s="5"/>
      <c r="D260" s="6"/>
      <c r="G260" s="6"/>
      <c r="H260" s="6"/>
      <c r="L260" s="5"/>
      <c r="M260" s="6"/>
      <c r="P260" s="6"/>
      <c r="Q260" s="6"/>
      <c r="U260" s="5"/>
      <c r="V260" s="6"/>
      <c r="Y260" s="6"/>
      <c r="Z260" s="6"/>
      <c r="AD260" s="5"/>
      <c r="AE260" s="6"/>
      <c r="AH260" s="6"/>
      <c r="AI260" s="6"/>
      <c r="AM260" s="5"/>
      <c r="AN260" s="6"/>
      <c r="AQ260" s="6"/>
      <c r="AR260" s="6"/>
    </row>
    <row r="261" spans="3:44" ht="13.2" x14ac:dyDescent="0.25">
      <c r="C261" s="5"/>
      <c r="D261" s="6"/>
      <c r="G261" s="6"/>
      <c r="H261" s="6"/>
      <c r="L261" s="5"/>
      <c r="M261" s="6"/>
      <c r="P261" s="6"/>
      <c r="Q261" s="6"/>
      <c r="U261" s="5"/>
      <c r="V261" s="6"/>
      <c r="Y261" s="6"/>
      <c r="Z261" s="6"/>
      <c r="AD261" s="5"/>
      <c r="AE261" s="6"/>
      <c r="AH261" s="6"/>
      <c r="AI261" s="6"/>
      <c r="AM261" s="5"/>
      <c r="AN261" s="6"/>
      <c r="AQ261" s="6"/>
      <c r="AR261" s="6"/>
    </row>
    <row r="262" spans="3:44" ht="13.2" x14ac:dyDescent="0.25">
      <c r="C262" s="5"/>
      <c r="D262" s="6"/>
      <c r="G262" s="6"/>
      <c r="H262" s="6"/>
      <c r="L262" s="5"/>
      <c r="M262" s="6"/>
      <c r="P262" s="6"/>
      <c r="Q262" s="6"/>
      <c r="U262" s="5"/>
      <c r="V262" s="6"/>
      <c r="Y262" s="6"/>
      <c r="Z262" s="6"/>
      <c r="AD262" s="5"/>
      <c r="AE262" s="6"/>
      <c r="AH262" s="6"/>
      <c r="AI262" s="6"/>
      <c r="AM262" s="5"/>
      <c r="AN262" s="6"/>
      <c r="AQ262" s="6"/>
      <c r="AR262" s="6"/>
    </row>
    <row r="263" spans="3:44" ht="13.2" x14ac:dyDescent="0.25">
      <c r="C263" s="5"/>
      <c r="D263" s="6"/>
      <c r="G263" s="6"/>
      <c r="H263" s="6"/>
      <c r="L263" s="5"/>
      <c r="M263" s="6"/>
      <c r="P263" s="6"/>
      <c r="Q263" s="6"/>
      <c r="U263" s="5"/>
      <c r="V263" s="6"/>
      <c r="Y263" s="6"/>
      <c r="Z263" s="6"/>
      <c r="AD263" s="5"/>
      <c r="AE263" s="6"/>
      <c r="AH263" s="6"/>
      <c r="AI263" s="6"/>
      <c r="AM263" s="5"/>
      <c r="AN263" s="6"/>
      <c r="AQ263" s="6"/>
      <c r="AR263" s="6"/>
    </row>
    <row r="264" spans="3:44" ht="13.2" x14ac:dyDescent="0.25">
      <c r="C264" s="5"/>
      <c r="D264" s="6"/>
      <c r="G264" s="6"/>
      <c r="H264" s="6"/>
      <c r="L264" s="5"/>
      <c r="M264" s="6"/>
      <c r="P264" s="6"/>
      <c r="Q264" s="6"/>
      <c r="U264" s="5"/>
      <c r="V264" s="6"/>
      <c r="Y264" s="6"/>
      <c r="Z264" s="6"/>
      <c r="AD264" s="5"/>
      <c r="AE264" s="6"/>
      <c r="AH264" s="6"/>
      <c r="AI264" s="6"/>
      <c r="AM264" s="5"/>
      <c r="AN264" s="6"/>
      <c r="AQ264" s="6"/>
      <c r="AR264" s="6"/>
    </row>
    <row r="265" spans="3:44" ht="13.2" x14ac:dyDescent="0.25">
      <c r="C265" s="5"/>
      <c r="D265" s="6"/>
      <c r="G265" s="6"/>
      <c r="H265" s="6"/>
      <c r="L265" s="5"/>
      <c r="M265" s="6"/>
      <c r="P265" s="6"/>
      <c r="Q265" s="6"/>
      <c r="U265" s="5"/>
      <c r="V265" s="6"/>
      <c r="Y265" s="6"/>
      <c r="Z265" s="6"/>
      <c r="AD265" s="5"/>
      <c r="AE265" s="6"/>
      <c r="AH265" s="6"/>
      <c r="AI265" s="6"/>
      <c r="AM265" s="5"/>
      <c r="AN265" s="6"/>
      <c r="AQ265" s="6"/>
      <c r="AR265" s="6"/>
    </row>
    <row r="266" spans="3:44" ht="13.2" x14ac:dyDescent="0.25">
      <c r="C266" s="5"/>
      <c r="D266" s="6"/>
      <c r="G266" s="6"/>
      <c r="H266" s="6"/>
      <c r="L266" s="5"/>
      <c r="M266" s="6"/>
      <c r="P266" s="6"/>
      <c r="Q266" s="6"/>
      <c r="U266" s="5"/>
      <c r="V266" s="6"/>
      <c r="Y266" s="6"/>
      <c r="Z266" s="6"/>
      <c r="AD266" s="5"/>
      <c r="AE266" s="6"/>
      <c r="AH266" s="6"/>
      <c r="AI266" s="6"/>
      <c r="AM266" s="5"/>
      <c r="AN266" s="6"/>
      <c r="AQ266" s="6"/>
      <c r="AR266" s="6"/>
    </row>
    <row r="267" spans="3:44" ht="13.2" x14ac:dyDescent="0.25">
      <c r="C267" s="5"/>
      <c r="D267" s="6"/>
      <c r="G267" s="6"/>
      <c r="H267" s="6"/>
      <c r="L267" s="5"/>
      <c r="M267" s="6"/>
      <c r="P267" s="6"/>
      <c r="Q267" s="6"/>
      <c r="U267" s="5"/>
      <c r="V267" s="6"/>
      <c r="Y267" s="6"/>
      <c r="Z267" s="6"/>
      <c r="AD267" s="5"/>
      <c r="AE267" s="6"/>
      <c r="AH267" s="6"/>
      <c r="AI267" s="6"/>
      <c r="AM267" s="5"/>
      <c r="AN267" s="6"/>
      <c r="AQ267" s="6"/>
      <c r="AR267" s="6"/>
    </row>
    <row r="268" spans="3:44" ht="13.2" x14ac:dyDescent="0.25">
      <c r="C268" s="5"/>
      <c r="D268" s="6"/>
      <c r="G268" s="6"/>
      <c r="H268" s="6"/>
      <c r="L268" s="5"/>
      <c r="M268" s="6"/>
      <c r="P268" s="6"/>
      <c r="Q268" s="6"/>
      <c r="U268" s="5"/>
      <c r="V268" s="6"/>
      <c r="Y268" s="6"/>
      <c r="Z268" s="6"/>
      <c r="AD268" s="5"/>
      <c r="AE268" s="6"/>
      <c r="AH268" s="6"/>
      <c r="AI268" s="6"/>
      <c r="AM268" s="5"/>
      <c r="AN268" s="6"/>
      <c r="AQ268" s="6"/>
      <c r="AR268" s="6"/>
    </row>
    <row r="269" spans="3:44" ht="13.2" x14ac:dyDescent="0.25">
      <c r="C269" s="5"/>
      <c r="D269" s="6"/>
      <c r="G269" s="6"/>
      <c r="H269" s="6"/>
      <c r="L269" s="5"/>
      <c r="M269" s="6"/>
      <c r="P269" s="6"/>
      <c r="Q269" s="6"/>
      <c r="U269" s="5"/>
      <c r="V269" s="6"/>
      <c r="Y269" s="6"/>
      <c r="Z269" s="6"/>
      <c r="AD269" s="5"/>
      <c r="AE269" s="6"/>
      <c r="AH269" s="6"/>
      <c r="AI269" s="6"/>
      <c r="AM269" s="5"/>
      <c r="AN269" s="6"/>
      <c r="AQ269" s="6"/>
      <c r="AR269" s="6"/>
    </row>
    <row r="270" spans="3:44" ht="13.2" x14ac:dyDescent="0.25">
      <c r="C270" s="5"/>
      <c r="D270" s="6"/>
      <c r="G270" s="6"/>
      <c r="H270" s="6"/>
      <c r="L270" s="5"/>
      <c r="M270" s="6"/>
      <c r="P270" s="6"/>
      <c r="Q270" s="6"/>
      <c r="U270" s="5"/>
      <c r="V270" s="6"/>
      <c r="Y270" s="6"/>
      <c r="Z270" s="6"/>
      <c r="AD270" s="5"/>
      <c r="AE270" s="6"/>
      <c r="AH270" s="6"/>
      <c r="AI270" s="6"/>
      <c r="AM270" s="5"/>
      <c r="AN270" s="6"/>
      <c r="AQ270" s="6"/>
      <c r="AR270" s="6"/>
    </row>
    <row r="271" spans="3:44" ht="13.2" x14ac:dyDescent="0.25">
      <c r="C271" s="5"/>
      <c r="D271" s="6"/>
      <c r="G271" s="6"/>
      <c r="H271" s="6"/>
      <c r="L271" s="5"/>
      <c r="M271" s="6"/>
      <c r="P271" s="6"/>
      <c r="Q271" s="6"/>
      <c r="U271" s="5"/>
      <c r="V271" s="6"/>
      <c r="Y271" s="6"/>
      <c r="Z271" s="6"/>
      <c r="AD271" s="5"/>
      <c r="AE271" s="6"/>
      <c r="AH271" s="6"/>
      <c r="AI271" s="6"/>
      <c r="AM271" s="5"/>
      <c r="AN271" s="6"/>
      <c r="AQ271" s="6"/>
      <c r="AR271" s="6"/>
    </row>
    <row r="272" spans="3:44" ht="13.2" x14ac:dyDescent="0.25">
      <c r="C272" s="5"/>
      <c r="D272" s="6"/>
      <c r="G272" s="6"/>
      <c r="H272" s="6"/>
      <c r="L272" s="5"/>
      <c r="M272" s="6"/>
      <c r="P272" s="6"/>
      <c r="Q272" s="6"/>
      <c r="U272" s="5"/>
      <c r="V272" s="6"/>
      <c r="Y272" s="6"/>
      <c r="Z272" s="6"/>
      <c r="AD272" s="5"/>
      <c r="AE272" s="6"/>
      <c r="AH272" s="6"/>
      <c r="AI272" s="6"/>
      <c r="AM272" s="5"/>
      <c r="AN272" s="6"/>
      <c r="AQ272" s="6"/>
      <c r="AR272" s="6"/>
    </row>
    <row r="273" spans="3:44" ht="13.2" x14ac:dyDescent="0.25">
      <c r="C273" s="5"/>
      <c r="D273" s="6"/>
      <c r="G273" s="6"/>
      <c r="H273" s="6"/>
      <c r="L273" s="5"/>
      <c r="M273" s="6"/>
      <c r="P273" s="6"/>
      <c r="Q273" s="6"/>
      <c r="U273" s="5"/>
      <c r="V273" s="6"/>
      <c r="Y273" s="6"/>
      <c r="Z273" s="6"/>
      <c r="AD273" s="5"/>
      <c r="AE273" s="6"/>
      <c r="AH273" s="6"/>
      <c r="AI273" s="6"/>
      <c r="AM273" s="5"/>
      <c r="AN273" s="6"/>
      <c r="AQ273" s="6"/>
      <c r="AR273" s="6"/>
    </row>
    <row r="274" spans="3:44" ht="13.2" x14ac:dyDescent="0.25">
      <c r="C274" s="5"/>
      <c r="D274" s="6"/>
      <c r="G274" s="6"/>
      <c r="H274" s="6"/>
      <c r="L274" s="5"/>
      <c r="M274" s="6"/>
      <c r="P274" s="6"/>
      <c r="Q274" s="6"/>
      <c r="U274" s="5"/>
      <c r="V274" s="6"/>
      <c r="Y274" s="6"/>
      <c r="Z274" s="6"/>
      <c r="AD274" s="5"/>
      <c r="AE274" s="6"/>
      <c r="AH274" s="6"/>
      <c r="AI274" s="6"/>
      <c r="AM274" s="5"/>
      <c r="AN274" s="6"/>
      <c r="AQ274" s="6"/>
      <c r="AR274" s="6"/>
    </row>
    <row r="275" spans="3:44" ht="13.2" x14ac:dyDescent="0.25">
      <c r="C275" s="5"/>
      <c r="D275" s="6"/>
      <c r="G275" s="6"/>
      <c r="H275" s="6"/>
      <c r="L275" s="5"/>
      <c r="M275" s="6"/>
      <c r="P275" s="6"/>
      <c r="Q275" s="6"/>
      <c r="U275" s="5"/>
      <c r="V275" s="6"/>
      <c r="Y275" s="6"/>
      <c r="Z275" s="6"/>
      <c r="AD275" s="5"/>
      <c r="AE275" s="6"/>
      <c r="AH275" s="6"/>
      <c r="AI275" s="6"/>
      <c r="AM275" s="5"/>
      <c r="AN275" s="6"/>
      <c r="AQ275" s="6"/>
      <c r="AR275" s="6"/>
    </row>
    <row r="276" spans="3:44" ht="13.2" x14ac:dyDescent="0.25">
      <c r="C276" s="5"/>
      <c r="D276" s="6"/>
      <c r="G276" s="6"/>
      <c r="H276" s="6"/>
      <c r="L276" s="5"/>
      <c r="M276" s="6"/>
      <c r="P276" s="6"/>
      <c r="Q276" s="6"/>
      <c r="U276" s="5"/>
      <c r="V276" s="6"/>
      <c r="Y276" s="6"/>
      <c r="Z276" s="6"/>
      <c r="AD276" s="5"/>
      <c r="AE276" s="6"/>
      <c r="AH276" s="6"/>
      <c r="AI276" s="6"/>
      <c r="AM276" s="5"/>
      <c r="AN276" s="6"/>
      <c r="AQ276" s="6"/>
      <c r="AR276" s="6"/>
    </row>
    <row r="277" spans="3:44" ht="13.2" x14ac:dyDescent="0.25">
      <c r="C277" s="5"/>
      <c r="D277" s="6"/>
      <c r="G277" s="6"/>
      <c r="H277" s="6"/>
      <c r="L277" s="5"/>
      <c r="M277" s="6"/>
      <c r="P277" s="6"/>
      <c r="Q277" s="6"/>
      <c r="U277" s="5"/>
      <c r="V277" s="6"/>
      <c r="Y277" s="6"/>
      <c r="Z277" s="6"/>
      <c r="AD277" s="5"/>
      <c r="AE277" s="6"/>
      <c r="AH277" s="6"/>
      <c r="AI277" s="6"/>
      <c r="AM277" s="5"/>
      <c r="AN277" s="6"/>
      <c r="AQ277" s="6"/>
      <c r="AR277" s="6"/>
    </row>
    <row r="278" spans="3:44" ht="13.2" x14ac:dyDescent="0.25">
      <c r="C278" s="5"/>
      <c r="D278" s="6"/>
      <c r="G278" s="6"/>
      <c r="H278" s="6"/>
      <c r="L278" s="5"/>
      <c r="M278" s="6"/>
      <c r="P278" s="6"/>
      <c r="Q278" s="6"/>
      <c r="U278" s="5"/>
      <c r="V278" s="6"/>
      <c r="Y278" s="6"/>
      <c r="Z278" s="6"/>
      <c r="AD278" s="5"/>
      <c r="AE278" s="6"/>
      <c r="AH278" s="6"/>
      <c r="AI278" s="6"/>
      <c r="AM278" s="5"/>
      <c r="AN278" s="6"/>
      <c r="AQ278" s="6"/>
      <c r="AR278" s="6"/>
    </row>
    <row r="279" spans="3:44" ht="13.2" x14ac:dyDescent="0.25">
      <c r="C279" s="5"/>
      <c r="D279" s="6"/>
      <c r="G279" s="6"/>
      <c r="H279" s="6"/>
      <c r="L279" s="5"/>
      <c r="M279" s="6"/>
      <c r="P279" s="6"/>
      <c r="Q279" s="6"/>
      <c r="U279" s="5"/>
      <c r="V279" s="6"/>
      <c r="Y279" s="6"/>
      <c r="Z279" s="6"/>
      <c r="AD279" s="5"/>
      <c r="AE279" s="6"/>
      <c r="AH279" s="6"/>
      <c r="AI279" s="6"/>
      <c r="AM279" s="5"/>
      <c r="AN279" s="6"/>
      <c r="AQ279" s="6"/>
      <c r="AR279" s="6"/>
    </row>
    <row r="280" spans="3:44" ht="13.2" x14ac:dyDescent="0.25">
      <c r="C280" s="5"/>
      <c r="D280" s="6"/>
      <c r="G280" s="6"/>
      <c r="H280" s="6"/>
      <c r="L280" s="5"/>
      <c r="M280" s="6"/>
      <c r="P280" s="6"/>
      <c r="Q280" s="6"/>
      <c r="U280" s="5"/>
      <c r="V280" s="6"/>
      <c r="Y280" s="6"/>
      <c r="Z280" s="6"/>
      <c r="AD280" s="5"/>
      <c r="AE280" s="6"/>
      <c r="AH280" s="6"/>
      <c r="AI280" s="6"/>
      <c r="AM280" s="5"/>
      <c r="AN280" s="6"/>
      <c r="AQ280" s="6"/>
      <c r="AR280" s="6"/>
    </row>
    <row r="281" spans="3:44" ht="13.2" x14ac:dyDescent="0.25">
      <c r="C281" s="5"/>
      <c r="D281" s="6"/>
      <c r="G281" s="6"/>
      <c r="H281" s="6"/>
      <c r="L281" s="5"/>
      <c r="M281" s="6"/>
      <c r="P281" s="6"/>
      <c r="Q281" s="6"/>
      <c r="U281" s="5"/>
      <c r="V281" s="6"/>
      <c r="Y281" s="6"/>
      <c r="Z281" s="6"/>
      <c r="AD281" s="5"/>
      <c r="AE281" s="6"/>
      <c r="AH281" s="6"/>
      <c r="AI281" s="6"/>
      <c r="AM281" s="5"/>
      <c r="AN281" s="6"/>
      <c r="AQ281" s="6"/>
      <c r="AR281" s="6"/>
    </row>
    <row r="282" spans="3:44" ht="13.2" x14ac:dyDescent="0.25">
      <c r="C282" s="5"/>
      <c r="D282" s="6"/>
      <c r="G282" s="6"/>
      <c r="H282" s="6"/>
      <c r="L282" s="5"/>
      <c r="M282" s="6"/>
      <c r="P282" s="6"/>
      <c r="Q282" s="6"/>
      <c r="U282" s="5"/>
      <c r="V282" s="6"/>
      <c r="Y282" s="6"/>
      <c r="Z282" s="6"/>
      <c r="AD282" s="5"/>
      <c r="AE282" s="6"/>
      <c r="AH282" s="6"/>
      <c r="AI282" s="6"/>
      <c r="AM282" s="5"/>
      <c r="AN282" s="6"/>
      <c r="AQ282" s="6"/>
      <c r="AR282" s="6"/>
    </row>
    <row r="283" spans="3:44" ht="13.2" x14ac:dyDescent="0.25">
      <c r="C283" s="5"/>
      <c r="D283" s="6"/>
      <c r="G283" s="6"/>
      <c r="H283" s="6"/>
      <c r="L283" s="5"/>
      <c r="M283" s="6"/>
      <c r="P283" s="6"/>
      <c r="Q283" s="6"/>
      <c r="U283" s="5"/>
      <c r="V283" s="6"/>
      <c r="Y283" s="6"/>
      <c r="Z283" s="6"/>
      <c r="AD283" s="5"/>
      <c r="AE283" s="6"/>
      <c r="AH283" s="6"/>
      <c r="AI283" s="6"/>
      <c r="AM283" s="5"/>
      <c r="AN283" s="6"/>
      <c r="AQ283" s="6"/>
      <c r="AR283" s="6"/>
    </row>
    <row r="284" spans="3:44" ht="13.2" x14ac:dyDescent="0.25">
      <c r="C284" s="5"/>
      <c r="D284" s="6"/>
      <c r="G284" s="6"/>
      <c r="H284" s="6"/>
      <c r="L284" s="5"/>
      <c r="M284" s="6"/>
      <c r="P284" s="6"/>
      <c r="Q284" s="6"/>
      <c r="U284" s="5"/>
      <c r="V284" s="6"/>
      <c r="Y284" s="6"/>
      <c r="Z284" s="6"/>
      <c r="AD284" s="5"/>
      <c r="AE284" s="6"/>
      <c r="AH284" s="6"/>
      <c r="AI284" s="6"/>
      <c r="AM284" s="5"/>
      <c r="AN284" s="6"/>
      <c r="AQ284" s="6"/>
      <c r="AR284" s="6"/>
    </row>
    <row r="285" spans="3:44" ht="13.2" x14ac:dyDescent="0.25">
      <c r="C285" s="5"/>
      <c r="D285" s="6"/>
      <c r="G285" s="6"/>
      <c r="H285" s="6"/>
      <c r="L285" s="5"/>
      <c r="M285" s="6"/>
      <c r="P285" s="6"/>
      <c r="Q285" s="6"/>
      <c r="U285" s="5"/>
      <c r="V285" s="6"/>
      <c r="Y285" s="6"/>
      <c r="Z285" s="6"/>
      <c r="AD285" s="5"/>
      <c r="AE285" s="6"/>
      <c r="AH285" s="6"/>
      <c r="AI285" s="6"/>
      <c r="AM285" s="5"/>
      <c r="AN285" s="6"/>
      <c r="AQ285" s="6"/>
      <c r="AR285" s="6"/>
    </row>
    <row r="286" spans="3:44" ht="13.2" x14ac:dyDescent="0.25">
      <c r="C286" s="5"/>
      <c r="D286" s="6"/>
      <c r="G286" s="6"/>
      <c r="H286" s="6"/>
      <c r="L286" s="5"/>
      <c r="M286" s="6"/>
      <c r="P286" s="6"/>
      <c r="Q286" s="6"/>
      <c r="U286" s="5"/>
      <c r="V286" s="6"/>
      <c r="Y286" s="6"/>
      <c r="Z286" s="6"/>
      <c r="AD286" s="5"/>
      <c r="AE286" s="6"/>
      <c r="AH286" s="6"/>
      <c r="AI286" s="6"/>
      <c r="AM286" s="5"/>
      <c r="AN286" s="6"/>
      <c r="AQ286" s="6"/>
      <c r="AR286" s="6"/>
    </row>
    <row r="287" spans="3:44" ht="13.2" x14ac:dyDescent="0.25">
      <c r="C287" s="5"/>
      <c r="D287" s="6"/>
      <c r="G287" s="6"/>
      <c r="H287" s="6"/>
      <c r="L287" s="5"/>
      <c r="M287" s="6"/>
      <c r="P287" s="6"/>
      <c r="Q287" s="6"/>
      <c r="U287" s="5"/>
      <c r="V287" s="6"/>
      <c r="Y287" s="6"/>
      <c r="Z287" s="6"/>
      <c r="AD287" s="5"/>
      <c r="AE287" s="6"/>
      <c r="AH287" s="6"/>
      <c r="AI287" s="6"/>
      <c r="AM287" s="5"/>
      <c r="AN287" s="6"/>
      <c r="AQ287" s="6"/>
      <c r="AR287" s="6"/>
    </row>
    <row r="288" spans="3:44" ht="13.2" x14ac:dyDescent="0.25">
      <c r="C288" s="5"/>
      <c r="D288" s="6"/>
      <c r="G288" s="6"/>
      <c r="H288" s="6"/>
      <c r="L288" s="5"/>
      <c r="M288" s="6"/>
      <c r="P288" s="6"/>
      <c r="Q288" s="6"/>
      <c r="U288" s="5"/>
      <c r="V288" s="6"/>
      <c r="Y288" s="6"/>
      <c r="Z288" s="6"/>
      <c r="AD288" s="5"/>
      <c r="AE288" s="6"/>
      <c r="AH288" s="6"/>
      <c r="AI288" s="6"/>
      <c r="AM288" s="5"/>
      <c r="AN288" s="6"/>
      <c r="AQ288" s="6"/>
      <c r="AR288" s="6"/>
    </row>
    <row r="289" spans="3:44" ht="13.2" x14ac:dyDescent="0.25">
      <c r="C289" s="5"/>
      <c r="D289" s="6"/>
      <c r="G289" s="6"/>
      <c r="H289" s="6"/>
      <c r="L289" s="5"/>
      <c r="M289" s="6"/>
      <c r="P289" s="6"/>
      <c r="Q289" s="6"/>
      <c r="U289" s="5"/>
      <c r="V289" s="6"/>
      <c r="Y289" s="6"/>
      <c r="Z289" s="6"/>
      <c r="AD289" s="5"/>
      <c r="AE289" s="6"/>
      <c r="AH289" s="6"/>
      <c r="AI289" s="6"/>
      <c r="AM289" s="5"/>
      <c r="AN289" s="6"/>
      <c r="AQ289" s="6"/>
      <c r="AR289" s="6"/>
    </row>
    <row r="290" spans="3:44" ht="13.2" x14ac:dyDescent="0.25">
      <c r="C290" s="5"/>
      <c r="D290" s="6"/>
      <c r="G290" s="6"/>
      <c r="H290" s="6"/>
      <c r="L290" s="5"/>
      <c r="M290" s="6"/>
      <c r="P290" s="6"/>
      <c r="Q290" s="6"/>
      <c r="U290" s="5"/>
      <c r="V290" s="6"/>
      <c r="Y290" s="6"/>
      <c r="Z290" s="6"/>
      <c r="AD290" s="5"/>
      <c r="AE290" s="6"/>
      <c r="AH290" s="6"/>
      <c r="AI290" s="6"/>
      <c r="AM290" s="5"/>
      <c r="AN290" s="6"/>
      <c r="AQ290" s="6"/>
      <c r="AR290" s="6"/>
    </row>
    <row r="291" spans="3:44" ht="13.2" x14ac:dyDescent="0.25">
      <c r="C291" s="5"/>
      <c r="D291" s="6"/>
      <c r="G291" s="6"/>
      <c r="H291" s="6"/>
      <c r="L291" s="5"/>
      <c r="M291" s="6"/>
      <c r="P291" s="6"/>
      <c r="Q291" s="6"/>
      <c r="U291" s="5"/>
      <c r="V291" s="6"/>
      <c r="Y291" s="6"/>
      <c r="Z291" s="6"/>
      <c r="AD291" s="5"/>
      <c r="AE291" s="6"/>
      <c r="AH291" s="6"/>
      <c r="AI291" s="6"/>
      <c r="AM291" s="5"/>
      <c r="AN291" s="6"/>
      <c r="AQ291" s="6"/>
      <c r="AR291" s="6"/>
    </row>
    <row r="292" spans="3:44" ht="13.2" x14ac:dyDescent="0.25">
      <c r="C292" s="5"/>
      <c r="D292" s="6"/>
      <c r="G292" s="6"/>
      <c r="H292" s="6"/>
      <c r="L292" s="5"/>
      <c r="M292" s="6"/>
      <c r="P292" s="6"/>
      <c r="Q292" s="6"/>
      <c r="U292" s="5"/>
      <c r="V292" s="6"/>
      <c r="Y292" s="6"/>
      <c r="Z292" s="6"/>
      <c r="AD292" s="5"/>
      <c r="AE292" s="6"/>
      <c r="AH292" s="6"/>
      <c r="AI292" s="6"/>
      <c r="AM292" s="5"/>
      <c r="AN292" s="6"/>
      <c r="AQ292" s="6"/>
      <c r="AR292" s="6"/>
    </row>
    <row r="293" spans="3:44" ht="13.2" x14ac:dyDescent="0.25">
      <c r="C293" s="5"/>
      <c r="D293" s="6"/>
      <c r="G293" s="6"/>
      <c r="H293" s="6"/>
      <c r="L293" s="5"/>
      <c r="M293" s="6"/>
      <c r="P293" s="6"/>
      <c r="Q293" s="6"/>
      <c r="U293" s="5"/>
      <c r="V293" s="6"/>
      <c r="Y293" s="6"/>
      <c r="Z293" s="6"/>
      <c r="AD293" s="5"/>
      <c r="AE293" s="6"/>
      <c r="AH293" s="6"/>
      <c r="AI293" s="6"/>
      <c r="AM293" s="5"/>
      <c r="AN293" s="6"/>
      <c r="AQ293" s="6"/>
      <c r="AR293" s="6"/>
    </row>
    <row r="294" spans="3:44" ht="13.2" x14ac:dyDescent="0.25">
      <c r="C294" s="5"/>
      <c r="D294" s="6"/>
      <c r="G294" s="6"/>
      <c r="H294" s="6"/>
      <c r="L294" s="5"/>
      <c r="M294" s="6"/>
      <c r="P294" s="6"/>
      <c r="Q294" s="6"/>
      <c r="U294" s="5"/>
      <c r="V294" s="6"/>
      <c r="Y294" s="6"/>
      <c r="Z294" s="6"/>
      <c r="AD294" s="5"/>
      <c r="AE294" s="6"/>
      <c r="AH294" s="6"/>
      <c r="AI294" s="6"/>
      <c r="AM294" s="5"/>
      <c r="AN294" s="6"/>
      <c r="AQ294" s="6"/>
      <c r="AR294" s="6"/>
    </row>
    <row r="295" spans="3:44" ht="13.2" x14ac:dyDescent="0.25">
      <c r="C295" s="5"/>
      <c r="D295" s="6"/>
      <c r="G295" s="6"/>
      <c r="H295" s="6"/>
      <c r="L295" s="5"/>
      <c r="M295" s="6"/>
      <c r="P295" s="6"/>
      <c r="Q295" s="6"/>
      <c r="U295" s="5"/>
      <c r="V295" s="6"/>
      <c r="Y295" s="6"/>
      <c r="Z295" s="6"/>
      <c r="AD295" s="5"/>
      <c r="AE295" s="6"/>
      <c r="AH295" s="6"/>
      <c r="AI295" s="6"/>
      <c r="AM295" s="5"/>
      <c r="AN295" s="6"/>
      <c r="AQ295" s="6"/>
      <c r="AR295" s="6"/>
    </row>
    <row r="296" spans="3:44" ht="13.2" x14ac:dyDescent="0.25">
      <c r="C296" s="5"/>
      <c r="D296" s="6"/>
      <c r="G296" s="6"/>
      <c r="H296" s="6"/>
      <c r="L296" s="5"/>
      <c r="M296" s="6"/>
      <c r="P296" s="6"/>
      <c r="Q296" s="6"/>
      <c r="U296" s="5"/>
      <c r="V296" s="6"/>
      <c r="Y296" s="6"/>
      <c r="Z296" s="6"/>
      <c r="AD296" s="5"/>
      <c r="AE296" s="6"/>
      <c r="AH296" s="6"/>
      <c r="AI296" s="6"/>
      <c r="AM296" s="5"/>
      <c r="AN296" s="6"/>
      <c r="AQ296" s="6"/>
      <c r="AR296" s="6"/>
    </row>
    <row r="297" spans="3:44" ht="13.2" x14ac:dyDescent="0.25">
      <c r="C297" s="5"/>
      <c r="D297" s="6"/>
      <c r="G297" s="6"/>
      <c r="H297" s="6"/>
      <c r="L297" s="5"/>
      <c r="M297" s="6"/>
      <c r="P297" s="6"/>
      <c r="Q297" s="6"/>
      <c r="U297" s="5"/>
      <c r="V297" s="6"/>
      <c r="Y297" s="6"/>
      <c r="Z297" s="6"/>
      <c r="AD297" s="5"/>
      <c r="AE297" s="6"/>
      <c r="AH297" s="6"/>
      <c r="AI297" s="6"/>
      <c r="AM297" s="5"/>
      <c r="AN297" s="6"/>
      <c r="AQ297" s="6"/>
      <c r="AR297" s="6"/>
    </row>
    <row r="298" spans="3:44" ht="13.2" x14ac:dyDescent="0.25">
      <c r="C298" s="5"/>
      <c r="D298" s="6"/>
      <c r="G298" s="6"/>
      <c r="H298" s="6"/>
      <c r="L298" s="5"/>
      <c r="M298" s="6"/>
      <c r="P298" s="6"/>
      <c r="Q298" s="6"/>
      <c r="U298" s="5"/>
      <c r="V298" s="6"/>
      <c r="Y298" s="6"/>
      <c r="Z298" s="6"/>
      <c r="AD298" s="5"/>
      <c r="AE298" s="6"/>
      <c r="AH298" s="6"/>
      <c r="AI298" s="6"/>
      <c r="AM298" s="5"/>
      <c r="AN298" s="6"/>
      <c r="AQ298" s="6"/>
      <c r="AR298" s="6"/>
    </row>
    <row r="299" spans="3:44" ht="13.2" x14ac:dyDescent="0.25">
      <c r="C299" s="5"/>
      <c r="D299" s="6"/>
      <c r="G299" s="6"/>
      <c r="H299" s="6"/>
      <c r="L299" s="5"/>
      <c r="M299" s="6"/>
      <c r="P299" s="6"/>
      <c r="Q299" s="6"/>
      <c r="U299" s="5"/>
      <c r="V299" s="6"/>
      <c r="Y299" s="6"/>
      <c r="Z299" s="6"/>
      <c r="AD299" s="5"/>
      <c r="AE299" s="6"/>
      <c r="AH299" s="6"/>
      <c r="AI299" s="6"/>
      <c r="AM299" s="5"/>
      <c r="AN299" s="6"/>
      <c r="AQ299" s="6"/>
      <c r="AR299" s="6"/>
    </row>
    <row r="300" spans="3:44" ht="13.2" x14ac:dyDescent="0.25">
      <c r="C300" s="5"/>
      <c r="D300" s="6"/>
      <c r="G300" s="6"/>
      <c r="H300" s="6"/>
      <c r="L300" s="5"/>
      <c r="M300" s="6"/>
      <c r="P300" s="6"/>
      <c r="Q300" s="6"/>
      <c r="U300" s="5"/>
      <c r="V300" s="6"/>
      <c r="Y300" s="6"/>
      <c r="Z300" s="6"/>
      <c r="AD300" s="5"/>
      <c r="AE300" s="6"/>
      <c r="AH300" s="6"/>
      <c r="AI300" s="6"/>
      <c r="AM300" s="5"/>
      <c r="AN300" s="6"/>
      <c r="AQ300" s="6"/>
      <c r="AR300" s="6"/>
    </row>
    <row r="301" spans="3:44" ht="13.2" x14ac:dyDescent="0.25">
      <c r="C301" s="5"/>
      <c r="D301" s="6"/>
      <c r="G301" s="6"/>
      <c r="H301" s="6"/>
      <c r="L301" s="5"/>
      <c r="M301" s="6"/>
      <c r="P301" s="6"/>
      <c r="Q301" s="6"/>
      <c r="U301" s="5"/>
      <c r="V301" s="6"/>
      <c r="Y301" s="6"/>
      <c r="Z301" s="6"/>
      <c r="AD301" s="5"/>
      <c r="AE301" s="6"/>
      <c r="AH301" s="6"/>
      <c r="AI301" s="6"/>
      <c r="AM301" s="5"/>
      <c r="AN301" s="6"/>
      <c r="AQ301" s="6"/>
      <c r="AR301" s="6"/>
    </row>
    <row r="302" spans="3:44" ht="13.2" x14ac:dyDescent="0.25">
      <c r="C302" s="5"/>
      <c r="D302" s="6"/>
      <c r="G302" s="6"/>
      <c r="H302" s="6"/>
      <c r="L302" s="5"/>
      <c r="M302" s="6"/>
      <c r="P302" s="6"/>
      <c r="Q302" s="6"/>
      <c r="U302" s="5"/>
      <c r="V302" s="6"/>
      <c r="Y302" s="6"/>
      <c r="Z302" s="6"/>
      <c r="AD302" s="5"/>
      <c r="AE302" s="6"/>
      <c r="AH302" s="6"/>
      <c r="AI302" s="6"/>
      <c r="AM302" s="5"/>
      <c r="AN302" s="6"/>
      <c r="AQ302" s="6"/>
      <c r="AR302" s="6"/>
    </row>
    <row r="303" spans="3:44" ht="13.2" x14ac:dyDescent="0.25">
      <c r="C303" s="5"/>
      <c r="D303" s="6"/>
      <c r="G303" s="6"/>
      <c r="H303" s="6"/>
      <c r="L303" s="5"/>
      <c r="M303" s="6"/>
      <c r="P303" s="6"/>
      <c r="Q303" s="6"/>
      <c r="U303" s="5"/>
      <c r="V303" s="6"/>
      <c r="Y303" s="6"/>
      <c r="Z303" s="6"/>
      <c r="AD303" s="5"/>
      <c r="AE303" s="6"/>
      <c r="AH303" s="6"/>
      <c r="AI303" s="6"/>
      <c r="AM303" s="5"/>
      <c r="AN303" s="6"/>
      <c r="AQ303" s="6"/>
      <c r="AR303" s="6"/>
    </row>
    <row r="304" spans="3:44" ht="13.2" x14ac:dyDescent="0.25">
      <c r="C304" s="5"/>
      <c r="D304" s="6"/>
      <c r="G304" s="6"/>
      <c r="H304" s="6"/>
      <c r="L304" s="5"/>
      <c r="M304" s="6"/>
      <c r="P304" s="6"/>
      <c r="Q304" s="6"/>
      <c r="U304" s="5"/>
      <c r="V304" s="6"/>
      <c r="Y304" s="6"/>
      <c r="Z304" s="6"/>
      <c r="AD304" s="5"/>
      <c r="AE304" s="6"/>
      <c r="AH304" s="6"/>
      <c r="AI304" s="6"/>
      <c r="AM304" s="5"/>
      <c r="AN304" s="6"/>
      <c r="AQ304" s="6"/>
      <c r="AR304" s="6"/>
    </row>
    <row r="305" spans="3:44" ht="13.2" x14ac:dyDescent="0.25">
      <c r="C305" s="5"/>
      <c r="D305" s="6"/>
      <c r="G305" s="6"/>
      <c r="H305" s="6"/>
      <c r="L305" s="5"/>
      <c r="M305" s="6"/>
      <c r="P305" s="6"/>
      <c r="Q305" s="6"/>
      <c r="U305" s="5"/>
      <c r="V305" s="6"/>
      <c r="Y305" s="6"/>
      <c r="Z305" s="6"/>
      <c r="AD305" s="5"/>
      <c r="AE305" s="6"/>
      <c r="AH305" s="6"/>
      <c r="AI305" s="6"/>
      <c r="AM305" s="5"/>
      <c r="AN305" s="6"/>
      <c r="AQ305" s="6"/>
      <c r="AR305" s="6"/>
    </row>
    <row r="306" spans="3:44" ht="13.2" x14ac:dyDescent="0.25">
      <c r="C306" s="5"/>
      <c r="D306" s="6"/>
      <c r="G306" s="6"/>
      <c r="H306" s="6"/>
      <c r="L306" s="5"/>
      <c r="M306" s="6"/>
      <c r="P306" s="6"/>
      <c r="Q306" s="6"/>
      <c r="U306" s="5"/>
      <c r="V306" s="6"/>
      <c r="Y306" s="6"/>
      <c r="Z306" s="6"/>
      <c r="AD306" s="5"/>
      <c r="AE306" s="6"/>
      <c r="AH306" s="6"/>
      <c r="AI306" s="6"/>
      <c r="AM306" s="5"/>
      <c r="AN306" s="6"/>
      <c r="AQ306" s="6"/>
      <c r="AR306" s="6"/>
    </row>
    <row r="307" spans="3:44" ht="13.2" x14ac:dyDescent="0.25">
      <c r="C307" s="5"/>
      <c r="D307" s="6"/>
      <c r="G307" s="6"/>
      <c r="H307" s="6"/>
      <c r="L307" s="5"/>
      <c r="M307" s="6"/>
      <c r="P307" s="6"/>
      <c r="Q307" s="6"/>
      <c r="U307" s="5"/>
      <c r="V307" s="6"/>
      <c r="Y307" s="6"/>
      <c r="Z307" s="6"/>
      <c r="AD307" s="5"/>
      <c r="AE307" s="6"/>
      <c r="AH307" s="6"/>
      <c r="AI307" s="6"/>
      <c r="AM307" s="5"/>
      <c r="AN307" s="6"/>
      <c r="AQ307" s="6"/>
      <c r="AR307" s="6"/>
    </row>
    <row r="308" spans="3:44" ht="13.2" x14ac:dyDescent="0.25">
      <c r="C308" s="5"/>
      <c r="D308" s="6"/>
      <c r="G308" s="6"/>
      <c r="H308" s="6"/>
      <c r="L308" s="5"/>
      <c r="M308" s="6"/>
      <c r="P308" s="6"/>
      <c r="Q308" s="6"/>
      <c r="U308" s="5"/>
      <c r="V308" s="6"/>
      <c r="Y308" s="6"/>
      <c r="Z308" s="6"/>
      <c r="AD308" s="5"/>
      <c r="AE308" s="6"/>
      <c r="AH308" s="6"/>
      <c r="AI308" s="6"/>
      <c r="AM308" s="5"/>
      <c r="AN308" s="6"/>
      <c r="AQ308" s="6"/>
      <c r="AR308" s="6"/>
    </row>
    <row r="309" spans="3:44" ht="13.2" x14ac:dyDescent="0.25">
      <c r="C309" s="5"/>
      <c r="D309" s="6"/>
      <c r="G309" s="6"/>
      <c r="H309" s="6"/>
      <c r="L309" s="5"/>
      <c r="M309" s="6"/>
      <c r="P309" s="6"/>
      <c r="Q309" s="6"/>
      <c r="U309" s="5"/>
      <c r="V309" s="6"/>
      <c r="Y309" s="6"/>
      <c r="Z309" s="6"/>
      <c r="AD309" s="5"/>
      <c r="AE309" s="6"/>
      <c r="AH309" s="6"/>
      <c r="AI309" s="6"/>
      <c r="AM309" s="5"/>
      <c r="AN309" s="6"/>
      <c r="AQ309" s="6"/>
      <c r="AR309" s="6"/>
    </row>
    <row r="310" spans="3:44" ht="13.2" x14ac:dyDescent="0.25">
      <c r="C310" s="5"/>
      <c r="D310" s="6"/>
      <c r="G310" s="6"/>
      <c r="H310" s="6"/>
      <c r="L310" s="5"/>
      <c r="M310" s="6"/>
      <c r="P310" s="6"/>
      <c r="Q310" s="6"/>
      <c r="U310" s="5"/>
      <c r="V310" s="6"/>
      <c r="Y310" s="6"/>
      <c r="Z310" s="6"/>
      <c r="AD310" s="5"/>
      <c r="AE310" s="6"/>
      <c r="AH310" s="6"/>
      <c r="AI310" s="6"/>
      <c r="AM310" s="5"/>
      <c r="AN310" s="6"/>
      <c r="AQ310" s="6"/>
      <c r="AR310" s="6"/>
    </row>
    <row r="311" spans="3:44" ht="13.2" x14ac:dyDescent="0.25">
      <c r="C311" s="5"/>
      <c r="D311" s="6"/>
      <c r="G311" s="6"/>
      <c r="H311" s="6"/>
      <c r="L311" s="5"/>
      <c r="M311" s="6"/>
      <c r="P311" s="6"/>
      <c r="Q311" s="6"/>
      <c r="U311" s="5"/>
      <c r="V311" s="6"/>
      <c r="Y311" s="6"/>
      <c r="Z311" s="6"/>
      <c r="AD311" s="5"/>
      <c r="AE311" s="6"/>
      <c r="AH311" s="6"/>
      <c r="AI311" s="6"/>
      <c r="AM311" s="5"/>
      <c r="AN311" s="6"/>
      <c r="AQ311" s="6"/>
      <c r="AR311" s="6"/>
    </row>
    <row r="312" spans="3:44" ht="13.2" x14ac:dyDescent="0.25">
      <c r="C312" s="5"/>
      <c r="D312" s="6"/>
      <c r="G312" s="6"/>
      <c r="H312" s="6"/>
      <c r="L312" s="5"/>
      <c r="M312" s="6"/>
      <c r="P312" s="6"/>
      <c r="Q312" s="6"/>
      <c r="U312" s="5"/>
      <c r="V312" s="6"/>
      <c r="Y312" s="6"/>
      <c r="Z312" s="6"/>
      <c r="AD312" s="5"/>
      <c r="AE312" s="6"/>
      <c r="AH312" s="6"/>
      <c r="AI312" s="6"/>
      <c r="AM312" s="5"/>
      <c r="AN312" s="6"/>
      <c r="AQ312" s="6"/>
      <c r="AR312" s="6"/>
    </row>
    <row r="313" spans="3:44" ht="13.2" x14ac:dyDescent="0.25">
      <c r="C313" s="5"/>
      <c r="D313" s="6"/>
      <c r="G313" s="6"/>
      <c r="H313" s="6"/>
      <c r="L313" s="5"/>
      <c r="M313" s="6"/>
      <c r="P313" s="6"/>
      <c r="Q313" s="6"/>
      <c r="U313" s="5"/>
      <c r="V313" s="6"/>
      <c r="Y313" s="6"/>
      <c r="Z313" s="6"/>
      <c r="AD313" s="5"/>
      <c r="AE313" s="6"/>
      <c r="AH313" s="6"/>
      <c r="AI313" s="6"/>
      <c r="AM313" s="5"/>
      <c r="AN313" s="6"/>
      <c r="AQ313" s="6"/>
      <c r="AR313" s="6"/>
    </row>
    <row r="314" spans="3:44" ht="13.2" x14ac:dyDescent="0.25">
      <c r="C314" s="5"/>
      <c r="D314" s="6"/>
      <c r="G314" s="6"/>
      <c r="H314" s="6"/>
      <c r="L314" s="5"/>
      <c r="M314" s="6"/>
      <c r="P314" s="6"/>
      <c r="Q314" s="6"/>
      <c r="U314" s="5"/>
      <c r="V314" s="6"/>
      <c r="Y314" s="6"/>
      <c r="Z314" s="6"/>
      <c r="AD314" s="5"/>
      <c r="AE314" s="6"/>
      <c r="AH314" s="6"/>
      <c r="AI314" s="6"/>
      <c r="AM314" s="5"/>
      <c r="AN314" s="6"/>
      <c r="AQ314" s="6"/>
      <c r="AR314" s="6"/>
    </row>
    <row r="315" spans="3:44" ht="13.2" x14ac:dyDescent="0.25">
      <c r="C315" s="5"/>
      <c r="D315" s="6"/>
      <c r="G315" s="6"/>
      <c r="H315" s="6"/>
      <c r="L315" s="5"/>
      <c r="M315" s="6"/>
      <c r="P315" s="6"/>
      <c r="Q315" s="6"/>
      <c r="U315" s="5"/>
      <c r="V315" s="6"/>
      <c r="Y315" s="6"/>
      <c r="Z315" s="6"/>
      <c r="AD315" s="5"/>
      <c r="AE315" s="6"/>
      <c r="AH315" s="6"/>
      <c r="AI315" s="6"/>
      <c r="AM315" s="5"/>
      <c r="AN315" s="6"/>
      <c r="AQ315" s="6"/>
      <c r="AR315" s="6"/>
    </row>
    <row r="316" spans="3:44" ht="13.2" x14ac:dyDescent="0.25">
      <c r="C316" s="5"/>
      <c r="D316" s="6"/>
      <c r="G316" s="6"/>
      <c r="H316" s="6"/>
      <c r="L316" s="5"/>
      <c r="M316" s="6"/>
      <c r="P316" s="6"/>
      <c r="Q316" s="6"/>
      <c r="U316" s="5"/>
      <c r="V316" s="6"/>
      <c r="Y316" s="6"/>
      <c r="Z316" s="6"/>
      <c r="AD316" s="5"/>
      <c r="AE316" s="6"/>
      <c r="AH316" s="6"/>
      <c r="AI316" s="6"/>
      <c r="AM316" s="5"/>
      <c r="AN316" s="6"/>
      <c r="AQ316" s="6"/>
      <c r="AR316" s="6"/>
    </row>
    <row r="317" spans="3:44" ht="13.2" x14ac:dyDescent="0.25">
      <c r="C317" s="5"/>
      <c r="D317" s="6"/>
      <c r="G317" s="6"/>
      <c r="H317" s="6"/>
      <c r="L317" s="5"/>
      <c r="M317" s="6"/>
      <c r="P317" s="6"/>
      <c r="Q317" s="6"/>
      <c r="U317" s="5"/>
      <c r="V317" s="6"/>
      <c r="Y317" s="6"/>
      <c r="Z317" s="6"/>
      <c r="AD317" s="5"/>
      <c r="AE317" s="6"/>
      <c r="AH317" s="6"/>
      <c r="AI317" s="6"/>
      <c r="AM317" s="5"/>
      <c r="AN317" s="6"/>
      <c r="AQ317" s="6"/>
      <c r="AR317" s="6"/>
    </row>
    <row r="318" spans="3:44" ht="13.2" x14ac:dyDescent="0.25">
      <c r="C318" s="5"/>
      <c r="D318" s="6"/>
      <c r="G318" s="6"/>
      <c r="H318" s="6"/>
      <c r="L318" s="5"/>
      <c r="M318" s="6"/>
      <c r="P318" s="6"/>
      <c r="Q318" s="6"/>
      <c r="U318" s="5"/>
      <c r="V318" s="6"/>
      <c r="Y318" s="6"/>
      <c r="Z318" s="6"/>
      <c r="AD318" s="5"/>
      <c r="AE318" s="6"/>
      <c r="AH318" s="6"/>
      <c r="AI318" s="6"/>
      <c r="AM318" s="5"/>
      <c r="AN318" s="6"/>
      <c r="AQ318" s="6"/>
      <c r="AR318" s="6"/>
    </row>
    <row r="319" spans="3:44" ht="13.2" x14ac:dyDescent="0.25">
      <c r="C319" s="5"/>
      <c r="D319" s="6"/>
      <c r="G319" s="6"/>
      <c r="H319" s="6"/>
      <c r="L319" s="5"/>
      <c r="M319" s="6"/>
      <c r="P319" s="6"/>
      <c r="Q319" s="6"/>
      <c r="U319" s="5"/>
      <c r="V319" s="6"/>
      <c r="Y319" s="6"/>
      <c r="Z319" s="6"/>
      <c r="AD319" s="5"/>
      <c r="AE319" s="6"/>
      <c r="AH319" s="6"/>
      <c r="AI319" s="6"/>
      <c r="AM319" s="5"/>
      <c r="AN319" s="6"/>
      <c r="AQ319" s="6"/>
      <c r="AR319" s="6"/>
    </row>
    <row r="320" spans="3:44" ht="13.2" x14ac:dyDescent="0.25">
      <c r="C320" s="5"/>
      <c r="D320" s="6"/>
      <c r="G320" s="6"/>
      <c r="H320" s="6"/>
      <c r="L320" s="5"/>
      <c r="M320" s="6"/>
      <c r="P320" s="6"/>
      <c r="Q320" s="6"/>
      <c r="U320" s="5"/>
      <c r="V320" s="6"/>
      <c r="Y320" s="6"/>
      <c r="Z320" s="6"/>
      <c r="AD320" s="5"/>
      <c r="AE320" s="6"/>
      <c r="AH320" s="6"/>
      <c r="AI320" s="6"/>
      <c r="AM320" s="5"/>
      <c r="AN320" s="6"/>
      <c r="AQ320" s="6"/>
      <c r="AR320" s="6"/>
    </row>
    <row r="321" spans="3:44" ht="13.2" x14ac:dyDescent="0.25">
      <c r="C321" s="5"/>
      <c r="D321" s="6"/>
      <c r="G321" s="6"/>
      <c r="H321" s="6"/>
      <c r="L321" s="5"/>
      <c r="M321" s="6"/>
      <c r="P321" s="6"/>
      <c r="Q321" s="6"/>
      <c r="U321" s="5"/>
      <c r="V321" s="6"/>
      <c r="Y321" s="6"/>
      <c r="Z321" s="6"/>
      <c r="AD321" s="5"/>
      <c r="AE321" s="6"/>
      <c r="AH321" s="6"/>
      <c r="AI321" s="6"/>
      <c r="AM321" s="5"/>
      <c r="AN321" s="6"/>
      <c r="AQ321" s="6"/>
      <c r="AR321" s="6"/>
    </row>
    <row r="322" spans="3:44" ht="13.2" x14ac:dyDescent="0.25">
      <c r="C322" s="5"/>
      <c r="D322" s="6"/>
      <c r="G322" s="6"/>
      <c r="H322" s="6"/>
      <c r="L322" s="5"/>
      <c r="M322" s="6"/>
      <c r="P322" s="6"/>
      <c r="Q322" s="6"/>
      <c r="U322" s="5"/>
      <c r="V322" s="6"/>
      <c r="Y322" s="6"/>
      <c r="Z322" s="6"/>
      <c r="AD322" s="5"/>
      <c r="AE322" s="6"/>
      <c r="AH322" s="6"/>
      <c r="AI322" s="6"/>
      <c r="AM322" s="5"/>
      <c r="AN322" s="6"/>
      <c r="AQ322" s="6"/>
      <c r="AR322" s="6"/>
    </row>
    <row r="323" spans="3:44" ht="13.2" x14ac:dyDescent="0.25">
      <c r="C323" s="5"/>
      <c r="D323" s="6"/>
      <c r="G323" s="6"/>
      <c r="H323" s="6"/>
      <c r="L323" s="5"/>
      <c r="M323" s="6"/>
      <c r="P323" s="6"/>
      <c r="Q323" s="6"/>
      <c r="U323" s="5"/>
      <c r="V323" s="6"/>
      <c r="Y323" s="6"/>
      <c r="Z323" s="6"/>
      <c r="AD323" s="5"/>
      <c r="AE323" s="6"/>
      <c r="AH323" s="6"/>
      <c r="AI323" s="6"/>
      <c r="AM323" s="5"/>
      <c r="AN323" s="6"/>
      <c r="AQ323" s="6"/>
      <c r="AR323" s="6"/>
    </row>
    <row r="324" spans="3:44" ht="13.2" x14ac:dyDescent="0.25">
      <c r="C324" s="5"/>
      <c r="D324" s="6"/>
      <c r="G324" s="6"/>
      <c r="H324" s="6"/>
      <c r="L324" s="5"/>
      <c r="M324" s="6"/>
      <c r="P324" s="6"/>
      <c r="Q324" s="6"/>
      <c r="U324" s="5"/>
      <c r="V324" s="6"/>
      <c r="Y324" s="6"/>
      <c r="Z324" s="6"/>
      <c r="AD324" s="5"/>
      <c r="AE324" s="6"/>
      <c r="AH324" s="6"/>
      <c r="AI324" s="6"/>
      <c r="AM324" s="5"/>
      <c r="AN324" s="6"/>
      <c r="AQ324" s="6"/>
      <c r="AR324" s="6"/>
    </row>
    <row r="325" spans="3:44" ht="13.2" x14ac:dyDescent="0.25">
      <c r="C325" s="5"/>
      <c r="D325" s="6"/>
      <c r="G325" s="6"/>
      <c r="H325" s="6"/>
      <c r="L325" s="5"/>
      <c r="M325" s="6"/>
      <c r="P325" s="6"/>
      <c r="Q325" s="6"/>
      <c r="U325" s="5"/>
      <c r="V325" s="6"/>
      <c r="Y325" s="6"/>
      <c r="Z325" s="6"/>
      <c r="AD325" s="5"/>
      <c r="AE325" s="6"/>
      <c r="AH325" s="6"/>
      <c r="AI325" s="6"/>
      <c r="AM325" s="5"/>
      <c r="AN325" s="6"/>
      <c r="AQ325" s="6"/>
      <c r="AR325" s="6"/>
    </row>
    <row r="326" spans="3:44" ht="13.2" x14ac:dyDescent="0.25">
      <c r="C326" s="5"/>
      <c r="D326" s="6"/>
      <c r="G326" s="6"/>
      <c r="H326" s="6"/>
      <c r="L326" s="5"/>
      <c r="M326" s="6"/>
      <c r="P326" s="6"/>
      <c r="Q326" s="6"/>
      <c r="U326" s="5"/>
      <c r="V326" s="6"/>
      <c r="Y326" s="6"/>
      <c r="Z326" s="6"/>
      <c r="AD326" s="5"/>
      <c r="AE326" s="6"/>
      <c r="AH326" s="6"/>
      <c r="AI326" s="6"/>
      <c r="AM326" s="5"/>
      <c r="AN326" s="6"/>
      <c r="AQ326" s="6"/>
      <c r="AR326" s="6"/>
    </row>
    <row r="327" spans="3:44" ht="13.2" x14ac:dyDescent="0.25">
      <c r="C327" s="5"/>
      <c r="D327" s="6"/>
      <c r="G327" s="6"/>
      <c r="H327" s="6"/>
      <c r="L327" s="5"/>
      <c r="M327" s="6"/>
      <c r="P327" s="6"/>
      <c r="Q327" s="6"/>
      <c r="U327" s="5"/>
      <c r="V327" s="6"/>
      <c r="Y327" s="6"/>
      <c r="Z327" s="6"/>
      <c r="AD327" s="5"/>
      <c r="AE327" s="6"/>
      <c r="AH327" s="6"/>
      <c r="AI327" s="6"/>
      <c r="AM327" s="5"/>
      <c r="AN327" s="6"/>
      <c r="AQ327" s="6"/>
      <c r="AR327" s="6"/>
    </row>
    <row r="328" spans="3:44" ht="13.2" x14ac:dyDescent="0.25">
      <c r="C328" s="5"/>
      <c r="D328" s="6"/>
      <c r="G328" s="6"/>
      <c r="H328" s="6"/>
      <c r="L328" s="5"/>
      <c r="M328" s="6"/>
      <c r="P328" s="6"/>
      <c r="Q328" s="6"/>
      <c r="U328" s="5"/>
      <c r="V328" s="6"/>
      <c r="Y328" s="6"/>
      <c r="Z328" s="6"/>
      <c r="AD328" s="5"/>
      <c r="AE328" s="6"/>
      <c r="AH328" s="6"/>
      <c r="AI328" s="6"/>
      <c r="AM328" s="5"/>
      <c r="AN328" s="6"/>
      <c r="AQ328" s="6"/>
      <c r="AR328" s="6"/>
    </row>
    <row r="329" spans="3:44" ht="13.2" x14ac:dyDescent="0.25">
      <c r="C329" s="5"/>
      <c r="D329" s="6"/>
      <c r="G329" s="6"/>
      <c r="H329" s="6"/>
      <c r="L329" s="5"/>
      <c r="M329" s="6"/>
      <c r="P329" s="6"/>
      <c r="Q329" s="6"/>
      <c r="U329" s="5"/>
      <c r="V329" s="6"/>
      <c r="Y329" s="6"/>
      <c r="Z329" s="6"/>
      <c r="AD329" s="5"/>
      <c r="AE329" s="6"/>
      <c r="AH329" s="6"/>
      <c r="AI329" s="6"/>
      <c r="AM329" s="5"/>
      <c r="AN329" s="6"/>
      <c r="AQ329" s="6"/>
      <c r="AR329" s="6"/>
    </row>
    <row r="330" spans="3:44" ht="13.2" x14ac:dyDescent="0.25">
      <c r="C330" s="5"/>
      <c r="D330" s="6"/>
      <c r="G330" s="6"/>
      <c r="H330" s="6"/>
      <c r="L330" s="5"/>
      <c r="M330" s="6"/>
      <c r="P330" s="6"/>
      <c r="Q330" s="6"/>
      <c r="U330" s="5"/>
      <c r="V330" s="6"/>
      <c r="Y330" s="6"/>
      <c r="Z330" s="6"/>
      <c r="AD330" s="5"/>
      <c r="AE330" s="6"/>
      <c r="AH330" s="6"/>
      <c r="AI330" s="6"/>
      <c r="AM330" s="5"/>
      <c r="AN330" s="6"/>
      <c r="AQ330" s="6"/>
      <c r="AR330" s="6"/>
    </row>
    <row r="331" spans="3:44" ht="13.2" x14ac:dyDescent="0.25">
      <c r="C331" s="5"/>
      <c r="D331" s="6"/>
      <c r="G331" s="6"/>
      <c r="H331" s="6"/>
      <c r="L331" s="5"/>
      <c r="M331" s="6"/>
      <c r="P331" s="6"/>
      <c r="Q331" s="6"/>
      <c r="U331" s="5"/>
      <c r="V331" s="6"/>
      <c r="Y331" s="6"/>
      <c r="Z331" s="6"/>
      <c r="AD331" s="5"/>
      <c r="AE331" s="6"/>
      <c r="AH331" s="6"/>
      <c r="AI331" s="6"/>
      <c r="AM331" s="5"/>
      <c r="AN331" s="6"/>
      <c r="AQ331" s="6"/>
      <c r="AR331" s="6"/>
    </row>
    <row r="332" spans="3:44" ht="13.2" x14ac:dyDescent="0.25">
      <c r="C332" s="5"/>
      <c r="D332" s="6"/>
      <c r="G332" s="6"/>
      <c r="H332" s="6"/>
      <c r="L332" s="5"/>
      <c r="M332" s="6"/>
      <c r="P332" s="6"/>
      <c r="Q332" s="6"/>
      <c r="U332" s="5"/>
      <c r="V332" s="6"/>
      <c r="Y332" s="6"/>
      <c r="Z332" s="6"/>
      <c r="AD332" s="5"/>
      <c r="AE332" s="6"/>
      <c r="AH332" s="6"/>
      <c r="AI332" s="6"/>
      <c r="AM332" s="5"/>
      <c r="AN332" s="6"/>
      <c r="AQ332" s="6"/>
      <c r="AR332" s="6"/>
    </row>
    <row r="333" spans="3:44" ht="13.2" x14ac:dyDescent="0.25">
      <c r="C333" s="5"/>
      <c r="D333" s="6"/>
      <c r="G333" s="6"/>
      <c r="H333" s="6"/>
      <c r="L333" s="5"/>
      <c r="M333" s="6"/>
      <c r="P333" s="6"/>
      <c r="Q333" s="6"/>
      <c r="U333" s="5"/>
      <c r="V333" s="6"/>
      <c r="Y333" s="6"/>
      <c r="Z333" s="6"/>
      <c r="AD333" s="5"/>
      <c r="AE333" s="6"/>
      <c r="AH333" s="6"/>
      <c r="AI333" s="6"/>
      <c r="AM333" s="5"/>
      <c r="AN333" s="6"/>
      <c r="AQ333" s="6"/>
      <c r="AR333" s="6"/>
    </row>
    <row r="334" spans="3:44" ht="13.2" x14ac:dyDescent="0.25">
      <c r="C334" s="5"/>
      <c r="D334" s="6"/>
      <c r="G334" s="6"/>
      <c r="H334" s="6"/>
      <c r="L334" s="5"/>
      <c r="M334" s="6"/>
      <c r="P334" s="6"/>
      <c r="Q334" s="6"/>
      <c r="U334" s="5"/>
      <c r="V334" s="6"/>
      <c r="Y334" s="6"/>
      <c r="Z334" s="6"/>
      <c r="AD334" s="5"/>
      <c r="AE334" s="6"/>
      <c r="AH334" s="6"/>
      <c r="AI334" s="6"/>
      <c r="AM334" s="5"/>
      <c r="AN334" s="6"/>
      <c r="AQ334" s="6"/>
      <c r="AR334" s="6"/>
    </row>
    <row r="335" spans="3:44" ht="13.2" x14ac:dyDescent="0.25">
      <c r="C335" s="5"/>
      <c r="D335" s="6"/>
      <c r="G335" s="6"/>
      <c r="H335" s="6"/>
      <c r="L335" s="5"/>
      <c r="M335" s="6"/>
      <c r="P335" s="6"/>
      <c r="Q335" s="6"/>
      <c r="U335" s="5"/>
      <c r="V335" s="6"/>
      <c r="Y335" s="6"/>
      <c r="Z335" s="6"/>
      <c r="AD335" s="5"/>
      <c r="AE335" s="6"/>
      <c r="AH335" s="6"/>
      <c r="AI335" s="6"/>
      <c r="AM335" s="5"/>
      <c r="AN335" s="6"/>
      <c r="AQ335" s="6"/>
      <c r="AR335" s="6"/>
    </row>
    <row r="336" spans="3:44" ht="13.2" x14ac:dyDescent="0.25">
      <c r="C336" s="5"/>
      <c r="D336" s="6"/>
      <c r="G336" s="6"/>
      <c r="H336" s="6"/>
      <c r="L336" s="5"/>
      <c r="M336" s="6"/>
      <c r="P336" s="6"/>
      <c r="Q336" s="6"/>
      <c r="U336" s="5"/>
      <c r="V336" s="6"/>
      <c r="Y336" s="6"/>
      <c r="Z336" s="6"/>
      <c r="AD336" s="5"/>
      <c r="AE336" s="6"/>
      <c r="AH336" s="6"/>
      <c r="AI336" s="6"/>
      <c r="AM336" s="5"/>
      <c r="AN336" s="6"/>
      <c r="AQ336" s="6"/>
      <c r="AR336" s="6"/>
    </row>
    <row r="337" spans="3:44" ht="13.2" x14ac:dyDescent="0.25">
      <c r="C337" s="5"/>
      <c r="D337" s="6"/>
      <c r="G337" s="6"/>
      <c r="H337" s="6"/>
      <c r="L337" s="5"/>
      <c r="M337" s="6"/>
      <c r="P337" s="6"/>
      <c r="Q337" s="6"/>
      <c r="U337" s="5"/>
      <c r="V337" s="6"/>
      <c r="Y337" s="6"/>
      <c r="Z337" s="6"/>
      <c r="AD337" s="5"/>
      <c r="AE337" s="6"/>
      <c r="AH337" s="6"/>
      <c r="AI337" s="6"/>
      <c r="AM337" s="5"/>
      <c r="AN337" s="6"/>
      <c r="AQ337" s="6"/>
      <c r="AR337" s="6"/>
    </row>
    <row r="338" spans="3:44" ht="13.2" x14ac:dyDescent="0.25">
      <c r="C338" s="5"/>
      <c r="D338" s="6"/>
      <c r="G338" s="6"/>
      <c r="H338" s="6"/>
      <c r="L338" s="5"/>
      <c r="M338" s="6"/>
      <c r="P338" s="6"/>
      <c r="Q338" s="6"/>
      <c r="U338" s="5"/>
      <c r="V338" s="6"/>
      <c r="Y338" s="6"/>
      <c r="Z338" s="6"/>
      <c r="AD338" s="5"/>
      <c r="AE338" s="6"/>
      <c r="AH338" s="6"/>
      <c r="AI338" s="6"/>
      <c r="AM338" s="5"/>
      <c r="AN338" s="6"/>
      <c r="AQ338" s="6"/>
      <c r="AR338" s="6"/>
    </row>
    <row r="339" spans="3:44" ht="13.2" x14ac:dyDescent="0.25">
      <c r="C339" s="5"/>
      <c r="D339" s="6"/>
      <c r="G339" s="6"/>
      <c r="H339" s="6"/>
      <c r="L339" s="5"/>
      <c r="M339" s="6"/>
      <c r="P339" s="6"/>
      <c r="Q339" s="6"/>
      <c r="U339" s="5"/>
      <c r="V339" s="6"/>
      <c r="Y339" s="6"/>
      <c r="Z339" s="6"/>
      <c r="AD339" s="5"/>
      <c r="AE339" s="6"/>
      <c r="AH339" s="6"/>
      <c r="AI339" s="6"/>
      <c r="AM339" s="5"/>
      <c r="AN339" s="6"/>
      <c r="AQ339" s="6"/>
      <c r="AR339" s="6"/>
    </row>
    <row r="340" spans="3:44" ht="13.2" x14ac:dyDescent="0.25">
      <c r="C340" s="5"/>
      <c r="D340" s="6"/>
      <c r="G340" s="6"/>
      <c r="H340" s="6"/>
      <c r="L340" s="5"/>
      <c r="M340" s="6"/>
      <c r="P340" s="6"/>
      <c r="Q340" s="6"/>
      <c r="U340" s="5"/>
      <c r="V340" s="6"/>
      <c r="Y340" s="6"/>
      <c r="Z340" s="6"/>
      <c r="AD340" s="5"/>
      <c r="AE340" s="6"/>
      <c r="AH340" s="6"/>
      <c r="AI340" s="6"/>
      <c r="AM340" s="5"/>
      <c r="AN340" s="6"/>
      <c r="AQ340" s="6"/>
      <c r="AR340" s="6"/>
    </row>
    <row r="341" spans="3:44" ht="13.2" x14ac:dyDescent="0.25">
      <c r="C341" s="5"/>
      <c r="D341" s="6"/>
      <c r="G341" s="6"/>
      <c r="H341" s="6"/>
      <c r="L341" s="5"/>
      <c r="M341" s="6"/>
      <c r="P341" s="6"/>
      <c r="Q341" s="6"/>
      <c r="U341" s="5"/>
      <c r="V341" s="6"/>
      <c r="Y341" s="6"/>
      <c r="Z341" s="6"/>
      <c r="AD341" s="5"/>
      <c r="AE341" s="6"/>
      <c r="AH341" s="6"/>
      <c r="AI341" s="6"/>
      <c r="AM341" s="5"/>
      <c r="AN341" s="6"/>
      <c r="AQ341" s="6"/>
      <c r="AR341" s="6"/>
    </row>
    <row r="342" spans="3:44" ht="13.2" x14ac:dyDescent="0.25">
      <c r="C342" s="5"/>
      <c r="D342" s="6"/>
      <c r="G342" s="6"/>
      <c r="H342" s="6"/>
      <c r="L342" s="5"/>
      <c r="M342" s="6"/>
      <c r="P342" s="6"/>
      <c r="Q342" s="6"/>
      <c r="U342" s="5"/>
      <c r="V342" s="6"/>
      <c r="Y342" s="6"/>
      <c r="Z342" s="6"/>
      <c r="AD342" s="5"/>
      <c r="AE342" s="6"/>
      <c r="AH342" s="6"/>
      <c r="AI342" s="6"/>
      <c r="AM342" s="5"/>
      <c r="AN342" s="6"/>
      <c r="AQ342" s="6"/>
      <c r="AR342" s="6"/>
    </row>
    <row r="343" spans="3:44" ht="13.2" x14ac:dyDescent="0.25">
      <c r="C343" s="5"/>
      <c r="D343" s="6"/>
      <c r="G343" s="6"/>
      <c r="H343" s="6"/>
      <c r="L343" s="5"/>
      <c r="M343" s="6"/>
      <c r="P343" s="6"/>
      <c r="Q343" s="6"/>
      <c r="U343" s="5"/>
      <c r="V343" s="6"/>
      <c r="Y343" s="6"/>
      <c r="Z343" s="6"/>
      <c r="AD343" s="5"/>
      <c r="AE343" s="6"/>
      <c r="AH343" s="6"/>
      <c r="AI343" s="6"/>
      <c r="AM343" s="5"/>
      <c r="AN343" s="6"/>
      <c r="AQ343" s="6"/>
      <c r="AR343" s="6"/>
    </row>
    <row r="344" spans="3:44" ht="13.2" x14ac:dyDescent="0.25">
      <c r="C344" s="5"/>
      <c r="D344" s="6"/>
      <c r="G344" s="6"/>
      <c r="H344" s="6"/>
      <c r="L344" s="5"/>
      <c r="M344" s="6"/>
      <c r="P344" s="6"/>
      <c r="Q344" s="6"/>
      <c r="U344" s="5"/>
      <c r="V344" s="6"/>
      <c r="Y344" s="6"/>
      <c r="Z344" s="6"/>
      <c r="AD344" s="5"/>
      <c r="AE344" s="6"/>
      <c r="AH344" s="6"/>
      <c r="AI344" s="6"/>
      <c r="AM344" s="5"/>
      <c r="AN344" s="6"/>
      <c r="AQ344" s="6"/>
      <c r="AR344" s="6"/>
    </row>
    <row r="345" spans="3:44" ht="13.2" x14ac:dyDescent="0.25">
      <c r="C345" s="5"/>
      <c r="D345" s="6"/>
      <c r="G345" s="6"/>
      <c r="H345" s="6"/>
      <c r="L345" s="5"/>
      <c r="M345" s="6"/>
      <c r="P345" s="6"/>
      <c r="Q345" s="6"/>
      <c r="U345" s="5"/>
      <c r="V345" s="6"/>
      <c r="Y345" s="6"/>
      <c r="Z345" s="6"/>
      <c r="AD345" s="5"/>
      <c r="AE345" s="6"/>
      <c r="AH345" s="6"/>
      <c r="AI345" s="6"/>
      <c r="AM345" s="5"/>
      <c r="AN345" s="6"/>
      <c r="AQ345" s="6"/>
      <c r="AR345" s="6"/>
    </row>
    <row r="346" spans="3:44" ht="13.2" x14ac:dyDescent="0.25">
      <c r="C346" s="5"/>
      <c r="D346" s="6"/>
      <c r="G346" s="6"/>
      <c r="H346" s="6"/>
      <c r="L346" s="5"/>
      <c r="M346" s="6"/>
      <c r="P346" s="6"/>
      <c r="Q346" s="6"/>
      <c r="U346" s="5"/>
      <c r="V346" s="6"/>
      <c r="Y346" s="6"/>
      <c r="Z346" s="6"/>
      <c r="AD346" s="5"/>
      <c r="AE346" s="6"/>
      <c r="AH346" s="6"/>
      <c r="AI346" s="6"/>
      <c r="AM346" s="5"/>
      <c r="AN346" s="6"/>
      <c r="AQ346" s="6"/>
      <c r="AR346" s="6"/>
    </row>
    <row r="347" spans="3:44" ht="13.2" x14ac:dyDescent="0.25">
      <c r="C347" s="5"/>
      <c r="D347" s="6"/>
      <c r="G347" s="6"/>
      <c r="H347" s="6"/>
      <c r="L347" s="5"/>
      <c r="M347" s="6"/>
      <c r="P347" s="6"/>
      <c r="Q347" s="6"/>
      <c r="U347" s="5"/>
      <c r="V347" s="6"/>
      <c r="Y347" s="6"/>
      <c r="Z347" s="6"/>
      <c r="AD347" s="5"/>
      <c r="AE347" s="6"/>
      <c r="AH347" s="6"/>
      <c r="AI347" s="6"/>
      <c r="AM347" s="5"/>
      <c r="AN347" s="6"/>
      <c r="AQ347" s="6"/>
      <c r="AR347" s="6"/>
    </row>
    <row r="348" spans="3:44" ht="13.2" x14ac:dyDescent="0.25">
      <c r="C348" s="5"/>
      <c r="D348" s="6"/>
      <c r="G348" s="6"/>
      <c r="H348" s="6"/>
      <c r="L348" s="5"/>
      <c r="M348" s="6"/>
      <c r="P348" s="6"/>
      <c r="Q348" s="6"/>
      <c r="U348" s="5"/>
      <c r="V348" s="6"/>
      <c r="Y348" s="6"/>
      <c r="Z348" s="6"/>
      <c r="AD348" s="5"/>
      <c r="AE348" s="6"/>
      <c r="AH348" s="6"/>
      <c r="AI348" s="6"/>
      <c r="AM348" s="5"/>
      <c r="AN348" s="6"/>
      <c r="AQ348" s="6"/>
      <c r="AR348" s="6"/>
    </row>
    <row r="349" spans="3:44" ht="13.2" x14ac:dyDescent="0.25">
      <c r="C349" s="5"/>
      <c r="D349" s="6"/>
      <c r="G349" s="6"/>
      <c r="H349" s="6"/>
      <c r="L349" s="5"/>
      <c r="M349" s="6"/>
      <c r="P349" s="6"/>
      <c r="Q349" s="6"/>
      <c r="U349" s="5"/>
      <c r="V349" s="6"/>
      <c r="Y349" s="6"/>
      <c r="Z349" s="6"/>
      <c r="AD349" s="5"/>
      <c r="AE349" s="6"/>
      <c r="AH349" s="6"/>
      <c r="AI349" s="6"/>
      <c r="AM349" s="5"/>
      <c r="AN349" s="6"/>
      <c r="AQ349" s="6"/>
      <c r="AR349" s="6"/>
    </row>
    <row r="350" spans="3:44" ht="13.2" x14ac:dyDescent="0.25">
      <c r="C350" s="5"/>
      <c r="D350" s="6"/>
      <c r="G350" s="6"/>
      <c r="H350" s="6"/>
      <c r="L350" s="5"/>
      <c r="M350" s="6"/>
      <c r="P350" s="6"/>
      <c r="Q350" s="6"/>
      <c r="U350" s="5"/>
      <c r="V350" s="6"/>
      <c r="Y350" s="6"/>
      <c r="Z350" s="6"/>
      <c r="AD350" s="5"/>
      <c r="AE350" s="6"/>
      <c r="AH350" s="6"/>
      <c r="AI350" s="6"/>
      <c r="AM350" s="5"/>
      <c r="AN350" s="6"/>
      <c r="AQ350" s="6"/>
      <c r="AR350" s="6"/>
    </row>
    <row r="351" spans="3:44" ht="13.2" x14ac:dyDescent="0.25">
      <c r="C351" s="5"/>
      <c r="D351" s="6"/>
      <c r="G351" s="6"/>
      <c r="H351" s="6"/>
      <c r="L351" s="5"/>
      <c r="M351" s="6"/>
      <c r="P351" s="6"/>
      <c r="Q351" s="6"/>
      <c r="U351" s="5"/>
      <c r="V351" s="6"/>
      <c r="Y351" s="6"/>
      <c r="Z351" s="6"/>
      <c r="AD351" s="5"/>
      <c r="AE351" s="6"/>
      <c r="AH351" s="6"/>
      <c r="AI351" s="6"/>
      <c r="AM351" s="5"/>
      <c r="AN351" s="6"/>
      <c r="AQ351" s="6"/>
      <c r="AR351" s="6"/>
    </row>
    <row r="352" spans="3:44" ht="13.2" x14ac:dyDescent="0.25">
      <c r="C352" s="5"/>
      <c r="D352" s="6"/>
      <c r="G352" s="6"/>
      <c r="H352" s="6"/>
      <c r="L352" s="5"/>
      <c r="M352" s="6"/>
      <c r="P352" s="6"/>
      <c r="Q352" s="6"/>
      <c r="U352" s="5"/>
      <c r="V352" s="6"/>
      <c r="Y352" s="6"/>
      <c r="Z352" s="6"/>
      <c r="AD352" s="5"/>
      <c r="AE352" s="6"/>
      <c r="AH352" s="6"/>
      <c r="AI352" s="6"/>
      <c r="AM352" s="5"/>
      <c r="AN352" s="6"/>
      <c r="AQ352" s="6"/>
      <c r="AR352" s="6"/>
    </row>
    <row r="353" spans="3:44" ht="13.2" x14ac:dyDescent="0.25">
      <c r="C353" s="5"/>
      <c r="D353" s="6"/>
      <c r="G353" s="6"/>
      <c r="H353" s="6"/>
      <c r="L353" s="5"/>
      <c r="M353" s="6"/>
      <c r="P353" s="6"/>
      <c r="Q353" s="6"/>
      <c r="U353" s="5"/>
      <c r="V353" s="6"/>
      <c r="Y353" s="6"/>
      <c r="Z353" s="6"/>
      <c r="AD353" s="5"/>
      <c r="AE353" s="6"/>
      <c r="AH353" s="6"/>
      <c r="AI353" s="6"/>
      <c r="AM353" s="5"/>
      <c r="AN353" s="6"/>
      <c r="AQ353" s="6"/>
      <c r="AR353" s="6"/>
    </row>
    <row r="354" spans="3:44" ht="13.2" x14ac:dyDescent="0.25">
      <c r="C354" s="5"/>
      <c r="D354" s="6"/>
      <c r="G354" s="6"/>
      <c r="H354" s="6"/>
      <c r="L354" s="5"/>
      <c r="M354" s="6"/>
      <c r="P354" s="6"/>
      <c r="Q354" s="6"/>
      <c r="U354" s="5"/>
      <c r="V354" s="6"/>
      <c r="Y354" s="6"/>
      <c r="Z354" s="6"/>
      <c r="AD354" s="5"/>
      <c r="AE354" s="6"/>
      <c r="AH354" s="6"/>
      <c r="AI354" s="6"/>
      <c r="AM354" s="5"/>
      <c r="AN354" s="6"/>
      <c r="AQ354" s="6"/>
      <c r="AR354" s="6"/>
    </row>
    <row r="355" spans="3:44" ht="13.2" x14ac:dyDescent="0.25">
      <c r="C355" s="5"/>
      <c r="D355" s="6"/>
      <c r="G355" s="6"/>
      <c r="H355" s="6"/>
      <c r="L355" s="5"/>
      <c r="M355" s="6"/>
      <c r="P355" s="6"/>
      <c r="Q355" s="6"/>
      <c r="U355" s="5"/>
      <c r="V355" s="6"/>
      <c r="Y355" s="6"/>
      <c r="Z355" s="6"/>
      <c r="AD355" s="5"/>
      <c r="AE355" s="6"/>
      <c r="AH355" s="6"/>
      <c r="AI355" s="6"/>
      <c r="AM355" s="5"/>
      <c r="AN355" s="6"/>
      <c r="AQ355" s="6"/>
      <c r="AR355" s="6"/>
    </row>
    <row r="356" spans="3:44" ht="13.2" x14ac:dyDescent="0.25">
      <c r="C356" s="5"/>
      <c r="D356" s="6"/>
      <c r="G356" s="6"/>
      <c r="H356" s="6"/>
      <c r="L356" s="5"/>
      <c r="M356" s="6"/>
      <c r="P356" s="6"/>
      <c r="Q356" s="6"/>
      <c r="U356" s="5"/>
      <c r="V356" s="6"/>
      <c r="Y356" s="6"/>
      <c r="Z356" s="6"/>
      <c r="AD356" s="5"/>
      <c r="AE356" s="6"/>
      <c r="AH356" s="6"/>
      <c r="AI356" s="6"/>
      <c r="AM356" s="5"/>
      <c r="AN356" s="6"/>
      <c r="AQ356" s="6"/>
      <c r="AR356" s="6"/>
    </row>
    <row r="357" spans="3:44" ht="13.2" x14ac:dyDescent="0.25">
      <c r="C357" s="5"/>
      <c r="D357" s="6"/>
      <c r="G357" s="6"/>
      <c r="H357" s="6"/>
      <c r="L357" s="5"/>
      <c r="M357" s="6"/>
      <c r="P357" s="6"/>
      <c r="Q357" s="6"/>
      <c r="U357" s="5"/>
      <c r="V357" s="6"/>
      <c r="Y357" s="6"/>
      <c r="Z357" s="6"/>
      <c r="AD357" s="5"/>
      <c r="AE357" s="6"/>
      <c r="AH357" s="6"/>
      <c r="AI357" s="6"/>
      <c r="AM357" s="5"/>
      <c r="AN357" s="6"/>
      <c r="AQ357" s="6"/>
      <c r="AR357" s="6"/>
    </row>
    <row r="358" spans="3:44" ht="13.2" x14ac:dyDescent="0.25">
      <c r="C358" s="5"/>
      <c r="D358" s="6"/>
      <c r="G358" s="6"/>
      <c r="H358" s="6"/>
      <c r="L358" s="5"/>
      <c r="M358" s="6"/>
      <c r="P358" s="6"/>
      <c r="Q358" s="6"/>
      <c r="U358" s="5"/>
      <c r="V358" s="6"/>
      <c r="Y358" s="6"/>
      <c r="Z358" s="6"/>
      <c r="AD358" s="5"/>
      <c r="AE358" s="6"/>
      <c r="AH358" s="6"/>
      <c r="AI358" s="6"/>
      <c r="AM358" s="5"/>
      <c r="AN358" s="6"/>
      <c r="AQ358" s="6"/>
      <c r="AR358" s="6"/>
    </row>
    <row r="359" spans="3:44" ht="13.2" x14ac:dyDescent="0.25">
      <c r="C359" s="5"/>
      <c r="D359" s="6"/>
      <c r="G359" s="6"/>
      <c r="H359" s="6"/>
      <c r="L359" s="5"/>
      <c r="M359" s="6"/>
      <c r="P359" s="6"/>
      <c r="Q359" s="6"/>
      <c r="U359" s="5"/>
      <c r="V359" s="6"/>
      <c r="Y359" s="6"/>
      <c r="Z359" s="6"/>
      <c r="AD359" s="5"/>
      <c r="AE359" s="6"/>
      <c r="AH359" s="6"/>
      <c r="AI359" s="6"/>
      <c r="AM359" s="5"/>
      <c r="AN359" s="6"/>
      <c r="AQ359" s="6"/>
      <c r="AR359" s="6"/>
    </row>
    <row r="360" spans="3:44" ht="13.2" x14ac:dyDescent="0.25">
      <c r="C360" s="5"/>
      <c r="D360" s="6"/>
      <c r="G360" s="6"/>
      <c r="H360" s="6"/>
      <c r="L360" s="5"/>
      <c r="M360" s="6"/>
      <c r="P360" s="6"/>
      <c r="Q360" s="6"/>
      <c r="U360" s="5"/>
      <c r="V360" s="6"/>
      <c r="Y360" s="6"/>
      <c r="Z360" s="6"/>
      <c r="AD360" s="5"/>
      <c r="AE360" s="6"/>
      <c r="AH360" s="6"/>
      <c r="AI360" s="6"/>
      <c r="AM360" s="5"/>
      <c r="AN360" s="6"/>
      <c r="AQ360" s="6"/>
      <c r="AR360" s="6"/>
    </row>
    <row r="361" spans="3:44" ht="13.2" x14ac:dyDescent="0.25">
      <c r="C361" s="5"/>
      <c r="D361" s="6"/>
      <c r="G361" s="6"/>
      <c r="H361" s="6"/>
      <c r="L361" s="5"/>
      <c r="M361" s="6"/>
      <c r="P361" s="6"/>
      <c r="Q361" s="6"/>
      <c r="U361" s="5"/>
      <c r="V361" s="6"/>
      <c r="Y361" s="6"/>
      <c r="Z361" s="6"/>
      <c r="AD361" s="5"/>
      <c r="AE361" s="6"/>
      <c r="AH361" s="6"/>
      <c r="AI361" s="6"/>
      <c r="AM361" s="5"/>
      <c r="AN361" s="6"/>
      <c r="AQ361" s="6"/>
      <c r="AR361" s="6"/>
    </row>
    <row r="362" spans="3:44" ht="13.2" x14ac:dyDescent="0.25">
      <c r="C362" s="5"/>
      <c r="D362" s="6"/>
      <c r="G362" s="6"/>
      <c r="H362" s="6"/>
      <c r="L362" s="5"/>
      <c r="M362" s="6"/>
      <c r="P362" s="6"/>
      <c r="Q362" s="6"/>
      <c r="U362" s="5"/>
      <c r="V362" s="6"/>
      <c r="Y362" s="6"/>
      <c r="Z362" s="6"/>
      <c r="AD362" s="5"/>
      <c r="AE362" s="6"/>
      <c r="AH362" s="6"/>
      <c r="AI362" s="6"/>
      <c r="AM362" s="5"/>
      <c r="AN362" s="6"/>
      <c r="AQ362" s="6"/>
      <c r="AR362" s="6"/>
    </row>
    <row r="363" spans="3:44" ht="13.2" x14ac:dyDescent="0.25">
      <c r="C363" s="5"/>
      <c r="D363" s="6"/>
      <c r="G363" s="6"/>
      <c r="H363" s="6"/>
      <c r="L363" s="5"/>
      <c r="M363" s="6"/>
      <c r="P363" s="6"/>
      <c r="Q363" s="6"/>
      <c r="U363" s="5"/>
      <c r="V363" s="6"/>
      <c r="Y363" s="6"/>
      <c r="Z363" s="6"/>
      <c r="AD363" s="5"/>
      <c r="AE363" s="6"/>
      <c r="AH363" s="6"/>
      <c r="AI363" s="6"/>
      <c r="AM363" s="5"/>
      <c r="AN363" s="6"/>
      <c r="AQ363" s="6"/>
      <c r="AR363" s="6"/>
    </row>
    <row r="364" spans="3:44" ht="13.2" x14ac:dyDescent="0.25">
      <c r="C364" s="5"/>
      <c r="D364" s="6"/>
      <c r="G364" s="6"/>
      <c r="H364" s="6"/>
      <c r="L364" s="5"/>
      <c r="M364" s="6"/>
      <c r="P364" s="6"/>
      <c r="Q364" s="6"/>
      <c r="U364" s="5"/>
      <c r="V364" s="6"/>
      <c r="Y364" s="6"/>
      <c r="Z364" s="6"/>
      <c r="AD364" s="5"/>
      <c r="AE364" s="6"/>
      <c r="AH364" s="6"/>
      <c r="AI364" s="6"/>
      <c r="AM364" s="5"/>
      <c r="AN364" s="6"/>
      <c r="AQ364" s="6"/>
      <c r="AR364" s="6"/>
    </row>
    <row r="365" spans="3:44" ht="13.2" x14ac:dyDescent="0.25">
      <c r="C365" s="5"/>
      <c r="D365" s="6"/>
      <c r="G365" s="6"/>
      <c r="H365" s="6"/>
      <c r="L365" s="5"/>
      <c r="M365" s="6"/>
      <c r="P365" s="6"/>
      <c r="Q365" s="6"/>
      <c r="U365" s="5"/>
      <c r="V365" s="6"/>
      <c r="Y365" s="6"/>
      <c r="Z365" s="6"/>
      <c r="AD365" s="5"/>
      <c r="AE365" s="6"/>
      <c r="AH365" s="6"/>
      <c r="AI365" s="6"/>
      <c r="AM365" s="5"/>
      <c r="AN365" s="6"/>
      <c r="AQ365" s="6"/>
      <c r="AR365" s="6"/>
    </row>
    <row r="366" spans="3:44" ht="13.2" x14ac:dyDescent="0.25">
      <c r="C366" s="5"/>
      <c r="D366" s="6"/>
      <c r="G366" s="6"/>
      <c r="H366" s="6"/>
      <c r="L366" s="5"/>
      <c r="M366" s="6"/>
      <c r="P366" s="6"/>
      <c r="Q366" s="6"/>
      <c r="U366" s="5"/>
      <c r="V366" s="6"/>
      <c r="Y366" s="6"/>
      <c r="Z366" s="6"/>
      <c r="AD366" s="5"/>
      <c r="AE366" s="6"/>
      <c r="AH366" s="6"/>
      <c r="AI366" s="6"/>
      <c r="AM366" s="5"/>
      <c r="AN366" s="6"/>
      <c r="AQ366" s="6"/>
      <c r="AR366" s="6"/>
    </row>
    <row r="367" spans="3:44" ht="13.2" x14ac:dyDescent="0.25">
      <c r="C367" s="5"/>
      <c r="D367" s="6"/>
      <c r="G367" s="6"/>
      <c r="H367" s="6"/>
      <c r="L367" s="5"/>
      <c r="M367" s="6"/>
      <c r="P367" s="6"/>
      <c r="Q367" s="6"/>
      <c r="U367" s="5"/>
      <c r="V367" s="6"/>
      <c r="Y367" s="6"/>
      <c r="Z367" s="6"/>
      <c r="AD367" s="5"/>
      <c r="AE367" s="6"/>
      <c r="AH367" s="6"/>
      <c r="AI367" s="6"/>
      <c r="AM367" s="5"/>
      <c r="AN367" s="6"/>
      <c r="AQ367" s="6"/>
      <c r="AR367" s="6"/>
    </row>
    <row r="368" spans="3:44" ht="13.2" x14ac:dyDescent="0.25">
      <c r="C368" s="5"/>
      <c r="D368" s="6"/>
      <c r="G368" s="6"/>
      <c r="H368" s="6"/>
      <c r="L368" s="5"/>
      <c r="M368" s="6"/>
      <c r="P368" s="6"/>
      <c r="Q368" s="6"/>
      <c r="U368" s="5"/>
      <c r="V368" s="6"/>
      <c r="Y368" s="6"/>
      <c r="Z368" s="6"/>
      <c r="AD368" s="5"/>
      <c r="AE368" s="6"/>
      <c r="AH368" s="6"/>
      <c r="AI368" s="6"/>
      <c r="AM368" s="5"/>
      <c r="AN368" s="6"/>
      <c r="AQ368" s="6"/>
      <c r="AR368" s="6"/>
    </row>
    <row r="369" spans="3:44" ht="13.2" x14ac:dyDescent="0.25">
      <c r="C369" s="5"/>
      <c r="D369" s="6"/>
      <c r="G369" s="6"/>
      <c r="H369" s="6"/>
      <c r="L369" s="5"/>
      <c r="M369" s="6"/>
      <c r="P369" s="6"/>
      <c r="Q369" s="6"/>
      <c r="U369" s="5"/>
      <c r="V369" s="6"/>
      <c r="Y369" s="6"/>
      <c r="Z369" s="6"/>
      <c r="AD369" s="5"/>
      <c r="AE369" s="6"/>
      <c r="AH369" s="6"/>
      <c r="AI369" s="6"/>
      <c r="AM369" s="5"/>
      <c r="AN369" s="6"/>
      <c r="AQ369" s="6"/>
      <c r="AR369" s="6"/>
    </row>
    <row r="370" spans="3:44" ht="13.2" x14ac:dyDescent="0.25">
      <c r="C370" s="5"/>
      <c r="D370" s="6"/>
      <c r="G370" s="6"/>
      <c r="H370" s="6"/>
      <c r="L370" s="5"/>
      <c r="M370" s="6"/>
      <c r="P370" s="6"/>
      <c r="Q370" s="6"/>
      <c r="U370" s="5"/>
      <c r="V370" s="6"/>
      <c r="Y370" s="6"/>
      <c r="Z370" s="6"/>
      <c r="AD370" s="5"/>
      <c r="AE370" s="6"/>
      <c r="AH370" s="6"/>
      <c r="AI370" s="6"/>
      <c r="AM370" s="5"/>
      <c r="AN370" s="6"/>
      <c r="AQ370" s="6"/>
      <c r="AR370" s="6"/>
    </row>
    <row r="371" spans="3:44" ht="13.2" x14ac:dyDescent="0.25">
      <c r="C371" s="5"/>
      <c r="D371" s="6"/>
      <c r="G371" s="6"/>
      <c r="H371" s="6"/>
      <c r="L371" s="5"/>
      <c r="M371" s="6"/>
      <c r="P371" s="6"/>
      <c r="Q371" s="6"/>
      <c r="U371" s="5"/>
      <c r="V371" s="6"/>
      <c r="Y371" s="6"/>
      <c r="Z371" s="6"/>
      <c r="AD371" s="5"/>
      <c r="AE371" s="6"/>
      <c r="AH371" s="6"/>
      <c r="AI371" s="6"/>
      <c r="AM371" s="5"/>
      <c r="AN371" s="6"/>
      <c r="AQ371" s="6"/>
      <c r="AR371" s="6"/>
    </row>
    <row r="372" spans="3:44" ht="13.2" x14ac:dyDescent="0.25">
      <c r="C372" s="5"/>
      <c r="D372" s="6"/>
      <c r="G372" s="6"/>
      <c r="H372" s="6"/>
      <c r="L372" s="5"/>
      <c r="M372" s="6"/>
      <c r="P372" s="6"/>
      <c r="Q372" s="6"/>
      <c r="U372" s="5"/>
      <c r="V372" s="6"/>
      <c r="Y372" s="6"/>
      <c r="Z372" s="6"/>
      <c r="AD372" s="5"/>
      <c r="AE372" s="6"/>
      <c r="AH372" s="6"/>
      <c r="AI372" s="6"/>
      <c r="AM372" s="5"/>
      <c r="AN372" s="6"/>
      <c r="AQ372" s="6"/>
      <c r="AR372" s="6"/>
    </row>
    <row r="373" spans="3:44" ht="13.2" x14ac:dyDescent="0.25">
      <c r="C373" s="5"/>
      <c r="D373" s="6"/>
      <c r="G373" s="6"/>
      <c r="H373" s="6"/>
      <c r="L373" s="5"/>
      <c r="M373" s="6"/>
      <c r="P373" s="6"/>
      <c r="Q373" s="6"/>
      <c r="U373" s="5"/>
      <c r="V373" s="6"/>
      <c r="Y373" s="6"/>
      <c r="Z373" s="6"/>
      <c r="AD373" s="5"/>
      <c r="AE373" s="6"/>
      <c r="AH373" s="6"/>
      <c r="AI373" s="6"/>
      <c r="AM373" s="5"/>
      <c r="AN373" s="6"/>
      <c r="AQ373" s="6"/>
      <c r="AR373" s="6"/>
    </row>
    <row r="374" spans="3:44" ht="13.2" x14ac:dyDescent="0.25">
      <c r="C374" s="5"/>
      <c r="D374" s="6"/>
      <c r="G374" s="6"/>
      <c r="H374" s="6"/>
      <c r="L374" s="5"/>
      <c r="M374" s="6"/>
      <c r="P374" s="6"/>
      <c r="Q374" s="6"/>
      <c r="U374" s="5"/>
      <c r="V374" s="6"/>
      <c r="Y374" s="6"/>
      <c r="Z374" s="6"/>
      <c r="AD374" s="5"/>
      <c r="AE374" s="6"/>
      <c r="AH374" s="6"/>
      <c r="AI374" s="6"/>
      <c r="AM374" s="5"/>
      <c r="AN374" s="6"/>
      <c r="AQ374" s="6"/>
      <c r="AR374" s="6"/>
    </row>
    <row r="375" spans="3:44" ht="13.2" x14ac:dyDescent="0.25">
      <c r="C375" s="5"/>
      <c r="D375" s="6"/>
      <c r="G375" s="6"/>
      <c r="H375" s="6"/>
      <c r="L375" s="5"/>
      <c r="M375" s="6"/>
      <c r="P375" s="6"/>
      <c r="Q375" s="6"/>
      <c r="U375" s="5"/>
      <c r="V375" s="6"/>
      <c r="Y375" s="6"/>
      <c r="Z375" s="6"/>
      <c r="AD375" s="5"/>
      <c r="AE375" s="6"/>
      <c r="AH375" s="6"/>
      <c r="AI375" s="6"/>
      <c r="AM375" s="5"/>
      <c r="AN375" s="6"/>
      <c r="AQ375" s="6"/>
      <c r="AR375" s="6"/>
    </row>
    <row r="376" spans="3:44" ht="13.2" x14ac:dyDescent="0.25">
      <c r="C376" s="5"/>
      <c r="D376" s="6"/>
      <c r="G376" s="6"/>
      <c r="H376" s="6"/>
      <c r="L376" s="5"/>
      <c r="M376" s="6"/>
      <c r="P376" s="6"/>
      <c r="Q376" s="6"/>
      <c r="U376" s="5"/>
      <c r="V376" s="6"/>
      <c r="Y376" s="6"/>
      <c r="Z376" s="6"/>
      <c r="AD376" s="5"/>
      <c r="AE376" s="6"/>
      <c r="AH376" s="6"/>
      <c r="AI376" s="6"/>
      <c r="AM376" s="5"/>
      <c r="AN376" s="6"/>
      <c r="AQ376" s="6"/>
      <c r="AR376" s="6"/>
    </row>
    <row r="377" spans="3:44" ht="13.2" x14ac:dyDescent="0.25">
      <c r="C377" s="5"/>
      <c r="D377" s="6"/>
      <c r="G377" s="6"/>
      <c r="H377" s="6"/>
      <c r="L377" s="5"/>
      <c r="M377" s="6"/>
      <c r="P377" s="6"/>
      <c r="Q377" s="6"/>
      <c r="U377" s="5"/>
      <c r="V377" s="6"/>
      <c r="Y377" s="6"/>
      <c r="Z377" s="6"/>
      <c r="AD377" s="5"/>
      <c r="AE377" s="6"/>
      <c r="AH377" s="6"/>
      <c r="AI377" s="6"/>
      <c r="AM377" s="5"/>
      <c r="AN377" s="6"/>
      <c r="AQ377" s="6"/>
      <c r="AR377" s="6"/>
    </row>
    <row r="378" spans="3:44" ht="13.2" x14ac:dyDescent="0.25">
      <c r="C378" s="5"/>
      <c r="D378" s="6"/>
      <c r="G378" s="6"/>
      <c r="H378" s="6"/>
      <c r="L378" s="5"/>
      <c r="M378" s="6"/>
      <c r="P378" s="6"/>
      <c r="Q378" s="6"/>
      <c r="U378" s="5"/>
      <c r="V378" s="6"/>
      <c r="Y378" s="6"/>
      <c r="Z378" s="6"/>
      <c r="AD378" s="5"/>
      <c r="AE378" s="6"/>
      <c r="AH378" s="6"/>
      <c r="AI378" s="6"/>
      <c r="AM378" s="5"/>
      <c r="AN378" s="6"/>
      <c r="AQ378" s="6"/>
      <c r="AR378" s="6"/>
    </row>
    <row r="379" spans="3:44" ht="13.2" x14ac:dyDescent="0.25">
      <c r="C379" s="5"/>
      <c r="D379" s="6"/>
      <c r="G379" s="6"/>
      <c r="H379" s="6"/>
      <c r="L379" s="5"/>
      <c r="M379" s="6"/>
      <c r="P379" s="6"/>
      <c r="Q379" s="6"/>
      <c r="U379" s="5"/>
      <c r="V379" s="6"/>
      <c r="Y379" s="6"/>
      <c r="Z379" s="6"/>
      <c r="AD379" s="5"/>
      <c r="AE379" s="6"/>
      <c r="AH379" s="6"/>
      <c r="AI379" s="6"/>
      <c r="AM379" s="5"/>
      <c r="AN379" s="6"/>
      <c r="AQ379" s="6"/>
      <c r="AR379" s="6"/>
    </row>
    <row r="380" spans="3:44" ht="13.2" x14ac:dyDescent="0.25">
      <c r="C380" s="5"/>
      <c r="D380" s="6"/>
      <c r="G380" s="6"/>
      <c r="H380" s="6"/>
      <c r="L380" s="5"/>
      <c r="M380" s="6"/>
      <c r="P380" s="6"/>
      <c r="Q380" s="6"/>
      <c r="U380" s="5"/>
      <c r="V380" s="6"/>
      <c r="Y380" s="6"/>
      <c r="Z380" s="6"/>
      <c r="AD380" s="5"/>
      <c r="AE380" s="6"/>
      <c r="AH380" s="6"/>
      <c r="AI380" s="6"/>
      <c r="AM380" s="5"/>
      <c r="AN380" s="6"/>
      <c r="AQ380" s="6"/>
      <c r="AR380" s="6"/>
    </row>
    <row r="381" spans="3:44" ht="13.2" x14ac:dyDescent="0.25">
      <c r="C381" s="5"/>
      <c r="D381" s="6"/>
      <c r="G381" s="6"/>
      <c r="H381" s="6"/>
      <c r="L381" s="5"/>
      <c r="M381" s="6"/>
      <c r="P381" s="6"/>
      <c r="Q381" s="6"/>
      <c r="U381" s="5"/>
      <c r="V381" s="6"/>
      <c r="Y381" s="6"/>
      <c r="Z381" s="6"/>
      <c r="AD381" s="5"/>
      <c r="AE381" s="6"/>
      <c r="AH381" s="6"/>
      <c r="AI381" s="6"/>
      <c r="AM381" s="5"/>
      <c r="AN381" s="6"/>
      <c r="AQ381" s="6"/>
      <c r="AR381" s="6"/>
    </row>
    <row r="382" spans="3:44" ht="13.2" x14ac:dyDescent="0.25">
      <c r="C382" s="5"/>
      <c r="D382" s="6"/>
      <c r="G382" s="6"/>
      <c r="H382" s="6"/>
      <c r="L382" s="5"/>
      <c r="M382" s="6"/>
      <c r="P382" s="6"/>
      <c r="Q382" s="6"/>
      <c r="U382" s="5"/>
      <c r="V382" s="6"/>
      <c r="Y382" s="6"/>
      <c r="Z382" s="6"/>
      <c r="AD382" s="5"/>
      <c r="AE382" s="6"/>
      <c r="AH382" s="6"/>
      <c r="AI382" s="6"/>
      <c r="AM382" s="5"/>
      <c r="AN382" s="6"/>
      <c r="AQ382" s="6"/>
      <c r="AR382" s="6"/>
    </row>
    <row r="383" spans="3:44" ht="13.2" x14ac:dyDescent="0.25">
      <c r="C383" s="5"/>
      <c r="D383" s="6"/>
      <c r="G383" s="6"/>
      <c r="H383" s="6"/>
      <c r="L383" s="5"/>
      <c r="M383" s="6"/>
      <c r="P383" s="6"/>
      <c r="Q383" s="6"/>
      <c r="U383" s="5"/>
      <c r="V383" s="6"/>
      <c r="Y383" s="6"/>
      <c r="Z383" s="6"/>
      <c r="AD383" s="5"/>
      <c r="AE383" s="6"/>
      <c r="AH383" s="6"/>
      <c r="AI383" s="6"/>
      <c r="AM383" s="5"/>
      <c r="AN383" s="6"/>
      <c r="AQ383" s="6"/>
      <c r="AR383" s="6"/>
    </row>
    <row r="384" spans="3:44" ht="13.2" x14ac:dyDescent="0.25">
      <c r="C384" s="5"/>
      <c r="D384" s="6"/>
      <c r="G384" s="6"/>
      <c r="H384" s="6"/>
      <c r="L384" s="5"/>
      <c r="M384" s="6"/>
      <c r="P384" s="6"/>
      <c r="Q384" s="6"/>
      <c r="U384" s="5"/>
      <c r="V384" s="6"/>
      <c r="Y384" s="6"/>
      <c r="Z384" s="6"/>
      <c r="AD384" s="5"/>
      <c r="AE384" s="6"/>
      <c r="AH384" s="6"/>
      <c r="AI384" s="6"/>
      <c r="AM384" s="5"/>
      <c r="AN384" s="6"/>
      <c r="AQ384" s="6"/>
      <c r="AR384" s="6"/>
    </row>
    <row r="385" spans="3:44" ht="13.2" x14ac:dyDescent="0.25">
      <c r="C385" s="5"/>
      <c r="D385" s="6"/>
      <c r="G385" s="6"/>
      <c r="H385" s="6"/>
      <c r="L385" s="5"/>
      <c r="M385" s="6"/>
      <c r="P385" s="6"/>
      <c r="Q385" s="6"/>
      <c r="U385" s="5"/>
      <c r="V385" s="6"/>
      <c r="Y385" s="6"/>
      <c r="Z385" s="6"/>
      <c r="AD385" s="5"/>
      <c r="AE385" s="6"/>
      <c r="AH385" s="6"/>
      <c r="AI385" s="6"/>
      <c r="AM385" s="5"/>
      <c r="AN385" s="6"/>
      <c r="AQ385" s="6"/>
      <c r="AR385" s="6"/>
    </row>
    <row r="386" spans="3:44" ht="13.2" x14ac:dyDescent="0.25">
      <c r="C386" s="5"/>
      <c r="D386" s="6"/>
      <c r="G386" s="6"/>
      <c r="H386" s="6"/>
      <c r="L386" s="5"/>
      <c r="M386" s="6"/>
      <c r="P386" s="6"/>
      <c r="Q386" s="6"/>
      <c r="U386" s="5"/>
      <c r="V386" s="6"/>
      <c r="Y386" s="6"/>
      <c r="Z386" s="6"/>
      <c r="AD386" s="5"/>
      <c r="AE386" s="6"/>
      <c r="AH386" s="6"/>
      <c r="AI386" s="6"/>
      <c r="AM386" s="5"/>
      <c r="AN386" s="6"/>
      <c r="AQ386" s="6"/>
      <c r="AR386" s="6"/>
    </row>
    <row r="387" spans="3:44" ht="13.2" x14ac:dyDescent="0.25">
      <c r="C387" s="5"/>
      <c r="D387" s="6"/>
      <c r="G387" s="6"/>
      <c r="H387" s="6"/>
      <c r="L387" s="5"/>
      <c r="M387" s="6"/>
      <c r="P387" s="6"/>
      <c r="Q387" s="6"/>
      <c r="U387" s="5"/>
      <c r="V387" s="6"/>
      <c r="Y387" s="6"/>
      <c r="Z387" s="6"/>
      <c r="AD387" s="5"/>
      <c r="AE387" s="6"/>
      <c r="AH387" s="6"/>
      <c r="AI387" s="6"/>
      <c r="AM387" s="5"/>
      <c r="AN387" s="6"/>
      <c r="AQ387" s="6"/>
      <c r="AR387" s="6"/>
    </row>
    <row r="388" spans="3:44" ht="13.2" x14ac:dyDescent="0.25">
      <c r="C388" s="5"/>
      <c r="D388" s="6"/>
      <c r="G388" s="6"/>
      <c r="H388" s="6"/>
      <c r="L388" s="5"/>
      <c r="M388" s="6"/>
      <c r="P388" s="6"/>
      <c r="Q388" s="6"/>
      <c r="U388" s="5"/>
      <c r="V388" s="6"/>
      <c r="Y388" s="6"/>
      <c r="Z388" s="6"/>
      <c r="AD388" s="5"/>
      <c r="AE388" s="6"/>
      <c r="AH388" s="6"/>
      <c r="AI388" s="6"/>
      <c r="AM388" s="5"/>
      <c r="AN388" s="6"/>
      <c r="AQ388" s="6"/>
      <c r="AR388" s="6"/>
    </row>
    <row r="389" spans="3:44" ht="13.2" x14ac:dyDescent="0.25">
      <c r="C389" s="5"/>
      <c r="D389" s="6"/>
      <c r="G389" s="6"/>
      <c r="H389" s="6"/>
      <c r="L389" s="5"/>
      <c r="M389" s="6"/>
      <c r="P389" s="6"/>
      <c r="Q389" s="6"/>
      <c r="U389" s="5"/>
      <c r="V389" s="6"/>
      <c r="Y389" s="6"/>
      <c r="Z389" s="6"/>
      <c r="AD389" s="5"/>
      <c r="AE389" s="6"/>
      <c r="AH389" s="6"/>
      <c r="AI389" s="6"/>
      <c r="AM389" s="5"/>
      <c r="AN389" s="6"/>
      <c r="AQ389" s="6"/>
      <c r="AR389" s="6"/>
    </row>
    <row r="390" spans="3:44" ht="13.2" x14ac:dyDescent="0.25">
      <c r="C390" s="5"/>
      <c r="D390" s="6"/>
      <c r="G390" s="6"/>
      <c r="H390" s="6"/>
      <c r="L390" s="5"/>
      <c r="M390" s="6"/>
      <c r="P390" s="6"/>
      <c r="Q390" s="6"/>
      <c r="U390" s="5"/>
      <c r="V390" s="6"/>
      <c r="Y390" s="6"/>
      <c r="Z390" s="6"/>
      <c r="AD390" s="5"/>
      <c r="AE390" s="6"/>
      <c r="AH390" s="6"/>
      <c r="AI390" s="6"/>
      <c r="AM390" s="5"/>
      <c r="AN390" s="6"/>
      <c r="AQ390" s="6"/>
      <c r="AR390" s="6"/>
    </row>
    <row r="391" spans="3:44" ht="13.2" x14ac:dyDescent="0.25">
      <c r="C391" s="5"/>
      <c r="D391" s="6"/>
      <c r="G391" s="6"/>
      <c r="H391" s="6"/>
      <c r="L391" s="5"/>
      <c r="M391" s="6"/>
      <c r="P391" s="6"/>
      <c r="Q391" s="6"/>
      <c r="U391" s="5"/>
      <c r="V391" s="6"/>
      <c r="Y391" s="6"/>
      <c r="Z391" s="6"/>
      <c r="AD391" s="5"/>
      <c r="AE391" s="6"/>
      <c r="AH391" s="6"/>
      <c r="AI391" s="6"/>
      <c r="AM391" s="5"/>
      <c r="AN391" s="6"/>
      <c r="AQ391" s="6"/>
      <c r="AR391" s="6"/>
    </row>
    <row r="392" spans="3:44" ht="13.2" x14ac:dyDescent="0.25">
      <c r="C392" s="5"/>
      <c r="D392" s="6"/>
      <c r="G392" s="6"/>
      <c r="H392" s="6"/>
      <c r="L392" s="5"/>
      <c r="M392" s="6"/>
      <c r="P392" s="6"/>
      <c r="Q392" s="6"/>
      <c r="U392" s="5"/>
      <c r="V392" s="6"/>
      <c r="Y392" s="6"/>
      <c r="Z392" s="6"/>
      <c r="AD392" s="5"/>
      <c r="AE392" s="6"/>
      <c r="AH392" s="6"/>
      <c r="AI392" s="6"/>
      <c r="AM392" s="5"/>
      <c r="AN392" s="6"/>
      <c r="AQ392" s="6"/>
      <c r="AR392" s="6"/>
    </row>
    <row r="393" spans="3:44" ht="13.2" x14ac:dyDescent="0.25">
      <c r="C393" s="5"/>
      <c r="D393" s="6"/>
      <c r="G393" s="6"/>
      <c r="H393" s="6"/>
      <c r="L393" s="5"/>
      <c r="M393" s="6"/>
      <c r="P393" s="6"/>
      <c r="Q393" s="6"/>
      <c r="U393" s="5"/>
      <c r="V393" s="6"/>
      <c r="Y393" s="6"/>
      <c r="Z393" s="6"/>
      <c r="AD393" s="5"/>
      <c r="AE393" s="6"/>
      <c r="AH393" s="6"/>
      <c r="AI393" s="6"/>
      <c r="AM393" s="5"/>
      <c r="AN393" s="6"/>
      <c r="AQ393" s="6"/>
      <c r="AR393" s="6"/>
    </row>
    <row r="394" spans="3:44" ht="13.2" x14ac:dyDescent="0.25">
      <c r="C394" s="5"/>
      <c r="D394" s="6"/>
      <c r="G394" s="6"/>
      <c r="H394" s="6"/>
      <c r="L394" s="5"/>
      <c r="M394" s="6"/>
      <c r="P394" s="6"/>
      <c r="Q394" s="6"/>
      <c r="U394" s="5"/>
      <c r="V394" s="6"/>
      <c r="Y394" s="6"/>
      <c r="Z394" s="6"/>
      <c r="AD394" s="5"/>
      <c r="AE394" s="6"/>
      <c r="AH394" s="6"/>
      <c r="AI394" s="6"/>
      <c r="AM394" s="5"/>
      <c r="AN394" s="6"/>
      <c r="AQ394" s="6"/>
      <c r="AR394" s="6"/>
    </row>
    <row r="395" spans="3:44" ht="13.2" x14ac:dyDescent="0.25">
      <c r="C395" s="5"/>
      <c r="D395" s="6"/>
      <c r="G395" s="6"/>
      <c r="H395" s="6"/>
      <c r="L395" s="5"/>
      <c r="M395" s="6"/>
      <c r="P395" s="6"/>
      <c r="Q395" s="6"/>
      <c r="U395" s="5"/>
      <c r="V395" s="6"/>
      <c r="Y395" s="6"/>
      <c r="Z395" s="6"/>
      <c r="AD395" s="5"/>
      <c r="AE395" s="6"/>
      <c r="AH395" s="6"/>
      <c r="AI395" s="6"/>
      <c r="AM395" s="5"/>
      <c r="AN395" s="6"/>
      <c r="AQ395" s="6"/>
      <c r="AR395" s="6"/>
    </row>
    <row r="396" spans="3:44" ht="13.2" x14ac:dyDescent="0.25">
      <c r="C396" s="5"/>
      <c r="D396" s="6"/>
      <c r="G396" s="6"/>
      <c r="H396" s="6"/>
      <c r="L396" s="5"/>
      <c r="M396" s="6"/>
      <c r="P396" s="6"/>
      <c r="Q396" s="6"/>
      <c r="U396" s="5"/>
      <c r="V396" s="6"/>
      <c r="Y396" s="6"/>
      <c r="Z396" s="6"/>
      <c r="AD396" s="5"/>
      <c r="AE396" s="6"/>
      <c r="AH396" s="6"/>
      <c r="AI396" s="6"/>
      <c r="AM396" s="5"/>
      <c r="AN396" s="6"/>
      <c r="AQ396" s="6"/>
      <c r="AR396" s="6"/>
    </row>
    <row r="397" spans="3:44" ht="13.2" x14ac:dyDescent="0.25">
      <c r="C397" s="5"/>
      <c r="D397" s="6"/>
      <c r="G397" s="6"/>
      <c r="H397" s="6"/>
      <c r="L397" s="5"/>
      <c r="M397" s="6"/>
      <c r="P397" s="6"/>
      <c r="Q397" s="6"/>
      <c r="U397" s="5"/>
      <c r="V397" s="6"/>
      <c r="Y397" s="6"/>
      <c r="Z397" s="6"/>
      <c r="AD397" s="5"/>
      <c r="AE397" s="6"/>
      <c r="AH397" s="6"/>
      <c r="AI397" s="6"/>
      <c r="AM397" s="5"/>
      <c r="AN397" s="6"/>
      <c r="AQ397" s="6"/>
      <c r="AR397" s="6"/>
    </row>
    <row r="398" spans="3:44" ht="13.2" x14ac:dyDescent="0.25">
      <c r="C398" s="5"/>
      <c r="D398" s="6"/>
      <c r="G398" s="6"/>
      <c r="H398" s="6"/>
      <c r="L398" s="5"/>
      <c r="M398" s="6"/>
      <c r="P398" s="6"/>
      <c r="Q398" s="6"/>
      <c r="U398" s="5"/>
      <c r="V398" s="6"/>
      <c r="Y398" s="6"/>
      <c r="Z398" s="6"/>
      <c r="AD398" s="5"/>
      <c r="AE398" s="6"/>
      <c r="AH398" s="6"/>
      <c r="AI398" s="6"/>
      <c r="AM398" s="5"/>
      <c r="AN398" s="6"/>
      <c r="AQ398" s="6"/>
      <c r="AR398" s="6"/>
    </row>
    <row r="399" spans="3:44" ht="13.2" x14ac:dyDescent="0.25">
      <c r="C399" s="5"/>
      <c r="D399" s="6"/>
      <c r="G399" s="6"/>
      <c r="H399" s="6"/>
      <c r="L399" s="5"/>
      <c r="M399" s="6"/>
      <c r="P399" s="6"/>
      <c r="Q399" s="6"/>
      <c r="U399" s="5"/>
      <c r="V399" s="6"/>
      <c r="Y399" s="6"/>
      <c r="Z399" s="6"/>
      <c r="AD399" s="5"/>
      <c r="AE399" s="6"/>
      <c r="AH399" s="6"/>
      <c r="AI399" s="6"/>
      <c r="AM399" s="5"/>
      <c r="AN399" s="6"/>
      <c r="AQ399" s="6"/>
      <c r="AR399" s="6"/>
    </row>
    <row r="400" spans="3:44" ht="13.2" x14ac:dyDescent="0.25">
      <c r="C400" s="5"/>
      <c r="D400" s="6"/>
      <c r="G400" s="6"/>
      <c r="H400" s="6"/>
      <c r="L400" s="5"/>
      <c r="M400" s="6"/>
      <c r="P400" s="6"/>
      <c r="Q400" s="6"/>
      <c r="U400" s="5"/>
      <c r="V400" s="6"/>
      <c r="Y400" s="6"/>
      <c r="Z400" s="6"/>
      <c r="AD400" s="5"/>
      <c r="AE400" s="6"/>
      <c r="AH400" s="6"/>
      <c r="AI400" s="6"/>
      <c r="AM400" s="5"/>
      <c r="AN400" s="6"/>
      <c r="AQ400" s="6"/>
      <c r="AR400" s="6"/>
    </row>
    <row r="401" spans="3:44" ht="13.2" x14ac:dyDescent="0.25">
      <c r="C401" s="5"/>
      <c r="D401" s="6"/>
      <c r="G401" s="6"/>
      <c r="H401" s="6"/>
      <c r="L401" s="5"/>
      <c r="M401" s="6"/>
      <c r="P401" s="6"/>
      <c r="Q401" s="6"/>
      <c r="U401" s="5"/>
      <c r="V401" s="6"/>
      <c r="Y401" s="6"/>
      <c r="Z401" s="6"/>
      <c r="AD401" s="5"/>
      <c r="AE401" s="6"/>
      <c r="AH401" s="6"/>
      <c r="AI401" s="6"/>
      <c r="AM401" s="5"/>
      <c r="AN401" s="6"/>
      <c r="AQ401" s="6"/>
      <c r="AR401" s="6"/>
    </row>
    <row r="402" spans="3:44" ht="13.2" x14ac:dyDescent="0.25">
      <c r="C402" s="5"/>
      <c r="D402" s="6"/>
      <c r="G402" s="6"/>
      <c r="H402" s="6"/>
      <c r="L402" s="5"/>
      <c r="M402" s="6"/>
      <c r="P402" s="6"/>
      <c r="Q402" s="6"/>
      <c r="U402" s="5"/>
      <c r="V402" s="6"/>
      <c r="Y402" s="6"/>
      <c r="Z402" s="6"/>
      <c r="AD402" s="5"/>
      <c r="AE402" s="6"/>
      <c r="AH402" s="6"/>
      <c r="AI402" s="6"/>
      <c r="AM402" s="5"/>
      <c r="AN402" s="6"/>
      <c r="AQ402" s="6"/>
      <c r="AR402" s="6"/>
    </row>
    <row r="403" spans="3:44" ht="13.2" x14ac:dyDescent="0.25">
      <c r="C403" s="5"/>
      <c r="D403" s="6"/>
      <c r="G403" s="6"/>
      <c r="H403" s="6"/>
      <c r="L403" s="5"/>
      <c r="M403" s="6"/>
      <c r="P403" s="6"/>
      <c r="Q403" s="6"/>
      <c r="U403" s="5"/>
      <c r="V403" s="6"/>
      <c r="Y403" s="6"/>
      <c r="Z403" s="6"/>
      <c r="AD403" s="5"/>
      <c r="AE403" s="6"/>
      <c r="AH403" s="6"/>
      <c r="AI403" s="6"/>
      <c r="AM403" s="5"/>
      <c r="AN403" s="6"/>
      <c r="AQ403" s="6"/>
      <c r="AR403" s="6"/>
    </row>
    <row r="404" spans="3:44" ht="13.2" x14ac:dyDescent="0.25">
      <c r="C404" s="5"/>
      <c r="D404" s="6"/>
      <c r="G404" s="6"/>
      <c r="H404" s="6"/>
      <c r="L404" s="5"/>
      <c r="M404" s="6"/>
      <c r="P404" s="6"/>
      <c r="Q404" s="6"/>
      <c r="U404" s="5"/>
      <c r="V404" s="6"/>
      <c r="Y404" s="6"/>
      <c r="Z404" s="6"/>
      <c r="AD404" s="5"/>
      <c r="AE404" s="6"/>
      <c r="AH404" s="6"/>
      <c r="AI404" s="6"/>
      <c r="AM404" s="5"/>
      <c r="AN404" s="6"/>
      <c r="AQ404" s="6"/>
      <c r="AR404" s="6"/>
    </row>
    <row r="405" spans="3:44" ht="13.2" x14ac:dyDescent="0.25">
      <c r="C405" s="5"/>
      <c r="D405" s="6"/>
      <c r="G405" s="6"/>
      <c r="H405" s="6"/>
      <c r="L405" s="5"/>
      <c r="M405" s="6"/>
      <c r="P405" s="6"/>
      <c r="Q405" s="6"/>
      <c r="U405" s="5"/>
      <c r="V405" s="6"/>
      <c r="Y405" s="6"/>
      <c r="Z405" s="6"/>
      <c r="AD405" s="5"/>
      <c r="AE405" s="6"/>
      <c r="AH405" s="6"/>
      <c r="AI405" s="6"/>
      <c r="AM405" s="5"/>
      <c r="AN405" s="6"/>
      <c r="AQ405" s="6"/>
      <c r="AR405" s="6"/>
    </row>
    <row r="406" spans="3:44" ht="13.2" x14ac:dyDescent="0.25">
      <c r="C406" s="5"/>
      <c r="D406" s="6"/>
      <c r="G406" s="6"/>
      <c r="H406" s="6"/>
      <c r="L406" s="5"/>
      <c r="M406" s="6"/>
      <c r="P406" s="6"/>
      <c r="Q406" s="6"/>
      <c r="U406" s="5"/>
      <c r="V406" s="6"/>
      <c r="Y406" s="6"/>
      <c r="Z406" s="6"/>
      <c r="AD406" s="5"/>
      <c r="AE406" s="6"/>
      <c r="AH406" s="6"/>
      <c r="AI406" s="6"/>
      <c r="AM406" s="5"/>
      <c r="AN406" s="6"/>
      <c r="AQ406" s="6"/>
      <c r="AR406" s="6"/>
    </row>
    <row r="407" spans="3:44" ht="13.2" x14ac:dyDescent="0.25">
      <c r="C407" s="5"/>
      <c r="D407" s="6"/>
      <c r="G407" s="6"/>
      <c r="H407" s="6"/>
      <c r="L407" s="5"/>
      <c r="M407" s="6"/>
      <c r="P407" s="6"/>
      <c r="Q407" s="6"/>
      <c r="U407" s="5"/>
      <c r="V407" s="6"/>
      <c r="Y407" s="6"/>
      <c r="Z407" s="6"/>
      <c r="AD407" s="5"/>
      <c r="AE407" s="6"/>
      <c r="AH407" s="6"/>
      <c r="AI407" s="6"/>
      <c r="AM407" s="5"/>
      <c r="AN407" s="6"/>
      <c r="AQ407" s="6"/>
      <c r="AR407" s="6"/>
    </row>
    <row r="408" spans="3:44" ht="13.2" x14ac:dyDescent="0.25">
      <c r="C408" s="5"/>
      <c r="D408" s="6"/>
      <c r="G408" s="6"/>
      <c r="H408" s="6"/>
      <c r="L408" s="5"/>
      <c r="M408" s="6"/>
      <c r="P408" s="6"/>
      <c r="Q408" s="6"/>
      <c r="U408" s="5"/>
      <c r="V408" s="6"/>
      <c r="Y408" s="6"/>
      <c r="Z408" s="6"/>
      <c r="AD408" s="5"/>
      <c r="AE408" s="6"/>
      <c r="AH408" s="6"/>
      <c r="AI408" s="6"/>
      <c r="AM408" s="5"/>
      <c r="AN408" s="6"/>
      <c r="AQ408" s="6"/>
      <c r="AR408" s="6"/>
    </row>
    <row r="409" spans="3:44" ht="13.2" x14ac:dyDescent="0.25">
      <c r="C409" s="5"/>
      <c r="D409" s="6"/>
      <c r="G409" s="6"/>
      <c r="H409" s="6"/>
      <c r="L409" s="5"/>
      <c r="M409" s="6"/>
      <c r="P409" s="6"/>
      <c r="Q409" s="6"/>
      <c r="U409" s="5"/>
      <c r="V409" s="6"/>
      <c r="Y409" s="6"/>
      <c r="Z409" s="6"/>
      <c r="AD409" s="5"/>
      <c r="AE409" s="6"/>
      <c r="AH409" s="6"/>
      <c r="AI409" s="6"/>
      <c r="AM409" s="5"/>
      <c r="AN409" s="6"/>
      <c r="AQ409" s="6"/>
      <c r="AR409" s="6"/>
    </row>
    <row r="410" spans="3:44" ht="13.2" x14ac:dyDescent="0.25">
      <c r="C410" s="5"/>
      <c r="D410" s="6"/>
      <c r="G410" s="6"/>
      <c r="H410" s="6"/>
      <c r="L410" s="5"/>
      <c r="M410" s="6"/>
      <c r="P410" s="6"/>
      <c r="Q410" s="6"/>
      <c r="U410" s="5"/>
      <c r="V410" s="6"/>
      <c r="Y410" s="6"/>
      <c r="Z410" s="6"/>
      <c r="AD410" s="5"/>
      <c r="AE410" s="6"/>
      <c r="AH410" s="6"/>
      <c r="AI410" s="6"/>
      <c r="AM410" s="5"/>
      <c r="AN410" s="6"/>
      <c r="AQ410" s="6"/>
      <c r="AR410" s="6"/>
    </row>
    <row r="411" spans="3:44" ht="13.2" x14ac:dyDescent="0.25">
      <c r="C411" s="5"/>
      <c r="D411" s="6"/>
      <c r="G411" s="6"/>
      <c r="H411" s="6"/>
      <c r="L411" s="5"/>
      <c r="M411" s="6"/>
      <c r="P411" s="6"/>
      <c r="Q411" s="6"/>
      <c r="U411" s="5"/>
      <c r="V411" s="6"/>
      <c r="Y411" s="6"/>
      <c r="Z411" s="6"/>
      <c r="AD411" s="5"/>
      <c r="AE411" s="6"/>
      <c r="AH411" s="6"/>
      <c r="AI411" s="6"/>
      <c r="AM411" s="5"/>
      <c r="AN411" s="6"/>
      <c r="AQ411" s="6"/>
      <c r="AR411" s="6"/>
    </row>
    <row r="412" spans="3:44" ht="13.2" x14ac:dyDescent="0.25">
      <c r="C412" s="5"/>
      <c r="D412" s="6"/>
      <c r="G412" s="6"/>
      <c r="H412" s="6"/>
      <c r="L412" s="5"/>
      <c r="M412" s="6"/>
      <c r="P412" s="6"/>
      <c r="Q412" s="6"/>
      <c r="U412" s="5"/>
      <c r="V412" s="6"/>
      <c r="Y412" s="6"/>
      <c r="Z412" s="6"/>
      <c r="AD412" s="5"/>
      <c r="AE412" s="6"/>
      <c r="AH412" s="6"/>
      <c r="AI412" s="6"/>
      <c r="AM412" s="5"/>
      <c r="AN412" s="6"/>
      <c r="AQ412" s="6"/>
      <c r="AR412" s="6"/>
    </row>
    <row r="413" spans="3:44" ht="13.2" x14ac:dyDescent="0.25">
      <c r="C413" s="5"/>
      <c r="D413" s="6"/>
      <c r="G413" s="6"/>
      <c r="H413" s="6"/>
      <c r="L413" s="5"/>
      <c r="M413" s="6"/>
      <c r="P413" s="6"/>
      <c r="Q413" s="6"/>
      <c r="U413" s="5"/>
      <c r="V413" s="6"/>
      <c r="Y413" s="6"/>
      <c r="Z413" s="6"/>
      <c r="AD413" s="5"/>
      <c r="AE413" s="6"/>
      <c r="AH413" s="6"/>
      <c r="AI413" s="6"/>
      <c r="AM413" s="5"/>
      <c r="AN413" s="6"/>
      <c r="AQ413" s="6"/>
      <c r="AR413" s="6"/>
    </row>
    <row r="414" spans="3:44" ht="13.2" x14ac:dyDescent="0.25">
      <c r="C414" s="5"/>
      <c r="D414" s="6"/>
      <c r="G414" s="6"/>
      <c r="H414" s="6"/>
      <c r="L414" s="5"/>
      <c r="M414" s="6"/>
      <c r="P414" s="6"/>
      <c r="Q414" s="6"/>
      <c r="U414" s="5"/>
      <c r="V414" s="6"/>
      <c r="Y414" s="6"/>
      <c r="Z414" s="6"/>
      <c r="AD414" s="5"/>
      <c r="AE414" s="6"/>
      <c r="AH414" s="6"/>
      <c r="AI414" s="6"/>
      <c r="AM414" s="5"/>
      <c r="AN414" s="6"/>
      <c r="AQ414" s="6"/>
      <c r="AR414" s="6"/>
    </row>
    <row r="415" spans="3:44" ht="13.2" x14ac:dyDescent="0.25">
      <c r="C415" s="5"/>
      <c r="D415" s="6"/>
      <c r="G415" s="6"/>
      <c r="H415" s="6"/>
      <c r="L415" s="5"/>
      <c r="M415" s="6"/>
      <c r="P415" s="6"/>
      <c r="Q415" s="6"/>
      <c r="U415" s="5"/>
      <c r="V415" s="6"/>
      <c r="Y415" s="6"/>
      <c r="Z415" s="6"/>
      <c r="AD415" s="5"/>
      <c r="AE415" s="6"/>
      <c r="AH415" s="6"/>
      <c r="AI415" s="6"/>
      <c r="AM415" s="5"/>
      <c r="AN415" s="6"/>
      <c r="AQ415" s="6"/>
      <c r="AR415" s="6"/>
    </row>
    <row r="416" spans="3:44" ht="13.2" x14ac:dyDescent="0.25">
      <c r="C416" s="5"/>
      <c r="D416" s="6"/>
      <c r="G416" s="6"/>
      <c r="H416" s="6"/>
      <c r="L416" s="5"/>
      <c r="M416" s="6"/>
      <c r="P416" s="6"/>
      <c r="Q416" s="6"/>
      <c r="U416" s="5"/>
      <c r="V416" s="6"/>
      <c r="Y416" s="6"/>
      <c r="Z416" s="6"/>
      <c r="AD416" s="5"/>
      <c r="AE416" s="6"/>
      <c r="AH416" s="6"/>
      <c r="AI416" s="6"/>
      <c r="AM416" s="5"/>
      <c r="AN416" s="6"/>
      <c r="AQ416" s="6"/>
      <c r="AR416" s="6"/>
    </row>
    <row r="417" spans="3:44" ht="13.2" x14ac:dyDescent="0.25">
      <c r="C417" s="5"/>
      <c r="D417" s="6"/>
      <c r="G417" s="6"/>
      <c r="H417" s="6"/>
      <c r="L417" s="5"/>
      <c r="M417" s="6"/>
      <c r="P417" s="6"/>
      <c r="Q417" s="6"/>
      <c r="U417" s="5"/>
      <c r="V417" s="6"/>
      <c r="Y417" s="6"/>
      <c r="Z417" s="6"/>
      <c r="AD417" s="5"/>
      <c r="AE417" s="6"/>
      <c r="AH417" s="6"/>
      <c r="AI417" s="6"/>
      <c r="AM417" s="5"/>
      <c r="AN417" s="6"/>
      <c r="AQ417" s="6"/>
      <c r="AR417" s="6"/>
    </row>
    <row r="418" spans="3:44" ht="13.2" x14ac:dyDescent="0.25">
      <c r="C418" s="5"/>
      <c r="D418" s="6"/>
      <c r="G418" s="6"/>
      <c r="H418" s="6"/>
      <c r="L418" s="5"/>
      <c r="M418" s="6"/>
      <c r="P418" s="6"/>
      <c r="Q418" s="6"/>
      <c r="U418" s="5"/>
      <c r="V418" s="6"/>
      <c r="Y418" s="6"/>
      <c r="Z418" s="6"/>
      <c r="AD418" s="5"/>
      <c r="AE418" s="6"/>
      <c r="AH418" s="6"/>
      <c r="AI418" s="6"/>
      <c r="AM418" s="5"/>
      <c r="AN418" s="6"/>
      <c r="AQ418" s="6"/>
      <c r="AR418" s="6"/>
    </row>
    <row r="419" spans="3:44" ht="13.2" x14ac:dyDescent="0.25">
      <c r="C419" s="5"/>
      <c r="D419" s="6"/>
      <c r="G419" s="6"/>
      <c r="H419" s="6"/>
      <c r="L419" s="5"/>
      <c r="M419" s="6"/>
      <c r="P419" s="6"/>
      <c r="Q419" s="6"/>
      <c r="U419" s="5"/>
      <c r="V419" s="6"/>
      <c r="Y419" s="6"/>
      <c r="Z419" s="6"/>
      <c r="AD419" s="5"/>
      <c r="AE419" s="6"/>
      <c r="AH419" s="6"/>
      <c r="AI419" s="6"/>
      <c r="AM419" s="5"/>
      <c r="AN419" s="6"/>
      <c r="AQ419" s="6"/>
      <c r="AR419" s="6"/>
    </row>
    <row r="420" spans="3:44" ht="13.2" x14ac:dyDescent="0.25">
      <c r="C420" s="5"/>
      <c r="D420" s="6"/>
      <c r="G420" s="6"/>
      <c r="H420" s="6"/>
      <c r="L420" s="5"/>
      <c r="M420" s="6"/>
      <c r="P420" s="6"/>
      <c r="Q420" s="6"/>
      <c r="U420" s="5"/>
      <c r="V420" s="6"/>
      <c r="Y420" s="6"/>
      <c r="Z420" s="6"/>
      <c r="AD420" s="5"/>
      <c r="AE420" s="6"/>
      <c r="AH420" s="6"/>
      <c r="AI420" s="6"/>
      <c r="AM420" s="5"/>
      <c r="AN420" s="6"/>
      <c r="AQ420" s="6"/>
      <c r="AR420" s="6"/>
    </row>
    <row r="421" spans="3:44" ht="13.2" x14ac:dyDescent="0.25">
      <c r="C421" s="5"/>
      <c r="D421" s="6"/>
      <c r="G421" s="6"/>
      <c r="H421" s="6"/>
      <c r="L421" s="5"/>
      <c r="M421" s="6"/>
      <c r="P421" s="6"/>
      <c r="Q421" s="6"/>
      <c r="U421" s="5"/>
      <c r="V421" s="6"/>
      <c r="Y421" s="6"/>
      <c r="Z421" s="6"/>
      <c r="AD421" s="5"/>
      <c r="AE421" s="6"/>
      <c r="AH421" s="6"/>
      <c r="AI421" s="6"/>
      <c r="AM421" s="5"/>
      <c r="AN421" s="6"/>
      <c r="AQ421" s="6"/>
      <c r="AR421" s="6"/>
    </row>
    <row r="422" spans="3:44" ht="13.2" x14ac:dyDescent="0.25">
      <c r="C422" s="5"/>
      <c r="D422" s="6"/>
      <c r="G422" s="6"/>
      <c r="H422" s="6"/>
      <c r="L422" s="5"/>
      <c r="M422" s="6"/>
      <c r="P422" s="6"/>
      <c r="Q422" s="6"/>
      <c r="U422" s="5"/>
      <c r="V422" s="6"/>
      <c r="Y422" s="6"/>
      <c r="Z422" s="6"/>
      <c r="AD422" s="5"/>
      <c r="AE422" s="6"/>
      <c r="AH422" s="6"/>
      <c r="AI422" s="6"/>
      <c r="AM422" s="5"/>
      <c r="AN422" s="6"/>
      <c r="AQ422" s="6"/>
      <c r="AR422" s="6"/>
    </row>
    <row r="423" spans="3:44" ht="13.2" x14ac:dyDescent="0.25">
      <c r="C423" s="5"/>
      <c r="D423" s="6"/>
      <c r="G423" s="6"/>
      <c r="H423" s="6"/>
      <c r="L423" s="5"/>
      <c r="M423" s="6"/>
      <c r="P423" s="6"/>
      <c r="Q423" s="6"/>
      <c r="U423" s="5"/>
      <c r="V423" s="6"/>
      <c r="Y423" s="6"/>
      <c r="Z423" s="6"/>
      <c r="AD423" s="5"/>
      <c r="AE423" s="6"/>
      <c r="AH423" s="6"/>
      <c r="AI423" s="6"/>
      <c r="AM423" s="5"/>
      <c r="AN423" s="6"/>
      <c r="AQ423" s="6"/>
      <c r="AR423" s="6"/>
    </row>
    <row r="424" spans="3:44" ht="13.2" x14ac:dyDescent="0.25">
      <c r="C424" s="5"/>
      <c r="D424" s="6"/>
      <c r="G424" s="6"/>
      <c r="H424" s="6"/>
      <c r="L424" s="5"/>
      <c r="M424" s="6"/>
      <c r="P424" s="6"/>
      <c r="Q424" s="6"/>
      <c r="U424" s="5"/>
      <c r="V424" s="6"/>
      <c r="Y424" s="6"/>
      <c r="Z424" s="6"/>
      <c r="AD424" s="5"/>
      <c r="AE424" s="6"/>
      <c r="AH424" s="6"/>
      <c r="AI424" s="6"/>
      <c r="AM424" s="5"/>
      <c r="AN424" s="6"/>
      <c r="AQ424" s="6"/>
      <c r="AR424" s="6"/>
    </row>
    <row r="425" spans="3:44" ht="13.2" x14ac:dyDescent="0.25">
      <c r="C425" s="5"/>
      <c r="D425" s="6"/>
      <c r="G425" s="6"/>
      <c r="H425" s="6"/>
      <c r="L425" s="5"/>
      <c r="M425" s="6"/>
      <c r="P425" s="6"/>
      <c r="Q425" s="6"/>
      <c r="U425" s="5"/>
      <c r="V425" s="6"/>
      <c r="Y425" s="6"/>
      <c r="Z425" s="6"/>
      <c r="AD425" s="5"/>
      <c r="AE425" s="6"/>
      <c r="AH425" s="6"/>
      <c r="AI425" s="6"/>
      <c r="AM425" s="5"/>
      <c r="AN425" s="6"/>
      <c r="AQ425" s="6"/>
      <c r="AR425" s="6"/>
    </row>
    <row r="426" spans="3:44" ht="13.2" x14ac:dyDescent="0.25">
      <c r="C426" s="5"/>
      <c r="D426" s="6"/>
      <c r="G426" s="6"/>
      <c r="H426" s="6"/>
      <c r="L426" s="5"/>
      <c r="M426" s="6"/>
      <c r="P426" s="6"/>
      <c r="Q426" s="6"/>
      <c r="U426" s="5"/>
      <c r="V426" s="6"/>
      <c r="Y426" s="6"/>
      <c r="Z426" s="6"/>
      <c r="AD426" s="5"/>
      <c r="AE426" s="6"/>
      <c r="AH426" s="6"/>
      <c r="AI426" s="6"/>
      <c r="AM426" s="5"/>
      <c r="AN426" s="6"/>
      <c r="AQ426" s="6"/>
      <c r="AR426" s="6"/>
    </row>
    <row r="427" spans="3:44" ht="13.2" x14ac:dyDescent="0.25">
      <c r="C427" s="5"/>
      <c r="D427" s="6"/>
      <c r="G427" s="6"/>
      <c r="H427" s="6"/>
      <c r="L427" s="5"/>
      <c r="M427" s="6"/>
      <c r="P427" s="6"/>
      <c r="Q427" s="6"/>
      <c r="U427" s="5"/>
      <c r="V427" s="6"/>
      <c r="Y427" s="6"/>
      <c r="Z427" s="6"/>
      <c r="AD427" s="5"/>
      <c r="AE427" s="6"/>
      <c r="AH427" s="6"/>
      <c r="AI427" s="6"/>
      <c r="AM427" s="5"/>
      <c r="AN427" s="6"/>
      <c r="AQ427" s="6"/>
      <c r="AR427" s="6"/>
    </row>
    <row r="428" spans="3:44" ht="13.2" x14ac:dyDescent="0.25">
      <c r="C428" s="5"/>
      <c r="D428" s="6"/>
      <c r="G428" s="6"/>
      <c r="H428" s="6"/>
      <c r="L428" s="5"/>
      <c r="M428" s="6"/>
      <c r="P428" s="6"/>
      <c r="Q428" s="6"/>
      <c r="U428" s="5"/>
      <c r="V428" s="6"/>
      <c r="Y428" s="6"/>
      <c r="Z428" s="6"/>
      <c r="AD428" s="5"/>
      <c r="AE428" s="6"/>
      <c r="AH428" s="6"/>
      <c r="AI428" s="6"/>
      <c r="AM428" s="5"/>
      <c r="AN428" s="6"/>
      <c r="AQ428" s="6"/>
      <c r="AR428" s="6"/>
    </row>
    <row r="429" spans="3:44" ht="13.2" x14ac:dyDescent="0.25">
      <c r="C429" s="5"/>
      <c r="D429" s="6"/>
      <c r="G429" s="6"/>
      <c r="H429" s="6"/>
      <c r="L429" s="5"/>
      <c r="M429" s="6"/>
      <c r="P429" s="6"/>
      <c r="Q429" s="6"/>
      <c r="U429" s="5"/>
      <c r="V429" s="6"/>
      <c r="Y429" s="6"/>
      <c r="Z429" s="6"/>
      <c r="AD429" s="5"/>
      <c r="AE429" s="6"/>
      <c r="AH429" s="6"/>
      <c r="AI429" s="6"/>
      <c r="AM429" s="5"/>
      <c r="AN429" s="6"/>
      <c r="AQ429" s="6"/>
      <c r="AR429" s="6"/>
    </row>
    <row r="430" spans="3:44" ht="13.2" x14ac:dyDescent="0.25">
      <c r="C430" s="5"/>
      <c r="D430" s="6"/>
      <c r="G430" s="6"/>
      <c r="H430" s="6"/>
      <c r="L430" s="5"/>
      <c r="M430" s="6"/>
      <c r="P430" s="6"/>
      <c r="Q430" s="6"/>
      <c r="U430" s="5"/>
      <c r="V430" s="6"/>
      <c r="Y430" s="6"/>
      <c r="Z430" s="6"/>
      <c r="AD430" s="5"/>
      <c r="AE430" s="6"/>
      <c r="AH430" s="6"/>
      <c r="AI430" s="6"/>
      <c r="AM430" s="5"/>
      <c r="AN430" s="6"/>
      <c r="AQ430" s="6"/>
      <c r="AR430" s="6"/>
    </row>
    <row r="431" spans="3:44" ht="13.2" x14ac:dyDescent="0.25">
      <c r="C431" s="5"/>
      <c r="D431" s="6"/>
      <c r="G431" s="6"/>
      <c r="H431" s="6"/>
      <c r="L431" s="5"/>
      <c r="M431" s="6"/>
      <c r="P431" s="6"/>
      <c r="Q431" s="6"/>
      <c r="U431" s="5"/>
      <c r="V431" s="6"/>
      <c r="Y431" s="6"/>
      <c r="Z431" s="6"/>
      <c r="AD431" s="5"/>
      <c r="AE431" s="6"/>
      <c r="AH431" s="6"/>
      <c r="AI431" s="6"/>
      <c r="AM431" s="5"/>
      <c r="AN431" s="6"/>
      <c r="AQ431" s="6"/>
      <c r="AR431" s="6"/>
    </row>
    <row r="432" spans="3:44" ht="13.2" x14ac:dyDescent="0.25">
      <c r="C432" s="5"/>
      <c r="D432" s="6"/>
      <c r="G432" s="6"/>
      <c r="H432" s="6"/>
      <c r="L432" s="5"/>
      <c r="M432" s="6"/>
      <c r="P432" s="6"/>
      <c r="Q432" s="6"/>
      <c r="U432" s="5"/>
      <c r="V432" s="6"/>
      <c r="Y432" s="6"/>
      <c r="Z432" s="6"/>
      <c r="AD432" s="5"/>
      <c r="AE432" s="6"/>
      <c r="AH432" s="6"/>
      <c r="AI432" s="6"/>
      <c r="AM432" s="5"/>
      <c r="AN432" s="6"/>
      <c r="AQ432" s="6"/>
      <c r="AR432" s="6"/>
    </row>
    <row r="433" spans="3:44" ht="13.2" x14ac:dyDescent="0.25">
      <c r="C433" s="5"/>
      <c r="D433" s="6"/>
      <c r="G433" s="6"/>
      <c r="H433" s="6"/>
      <c r="L433" s="5"/>
      <c r="M433" s="6"/>
      <c r="P433" s="6"/>
      <c r="Q433" s="6"/>
      <c r="U433" s="5"/>
      <c r="V433" s="6"/>
      <c r="Y433" s="6"/>
      <c r="Z433" s="6"/>
      <c r="AD433" s="5"/>
      <c r="AE433" s="6"/>
      <c r="AH433" s="6"/>
      <c r="AI433" s="6"/>
      <c r="AM433" s="5"/>
      <c r="AN433" s="6"/>
      <c r="AQ433" s="6"/>
      <c r="AR433" s="6"/>
    </row>
    <row r="434" spans="3:44" ht="13.2" x14ac:dyDescent="0.25">
      <c r="C434" s="5"/>
      <c r="D434" s="6"/>
      <c r="G434" s="6"/>
      <c r="H434" s="6"/>
      <c r="L434" s="5"/>
      <c r="M434" s="6"/>
      <c r="P434" s="6"/>
      <c r="Q434" s="6"/>
      <c r="U434" s="5"/>
      <c r="V434" s="6"/>
      <c r="Y434" s="6"/>
      <c r="Z434" s="6"/>
      <c r="AD434" s="5"/>
      <c r="AE434" s="6"/>
      <c r="AH434" s="6"/>
      <c r="AI434" s="6"/>
      <c r="AM434" s="5"/>
      <c r="AN434" s="6"/>
      <c r="AQ434" s="6"/>
      <c r="AR434" s="6"/>
    </row>
    <row r="435" spans="3:44" ht="13.2" x14ac:dyDescent="0.25">
      <c r="C435" s="5"/>
      <c r="D435" s="6"/>
      <c r="G435" s="6"/>
      <c r="H435" s="6"/>
      <c r="L435" s="5"/>
      <c r="M435" s="6"/>
      <c r="P435" s="6"/>
      <c r="Q435" s="6"/>
      <c r="U435" s="5"/>
      <c r="V435" s="6"/>
      <c r="Y435" s="6"/>
      <c r="Z435" s="6"/>
      <c r="AD435" s="5"/>
      <c r="AE435" s="6"/>
      <c r="AH435" s="6"/>
      <c r="AI435" s="6"/>
      <c r="AM435" s="5"/>
      <c r="AN435" s="6"/>
      <c r="AQ435" s="6"/>
      <c r="AR435" s="6"/>
    </row>
    <row r="436" spans="3:44" ht="13.2" x14ac:dyDescent="0.25">
      <c r="C436" s="5"/>
      <c r="D436" s="6"/>
      <c r="G436" s="6"/>
      <c r="H436" s="6"/>
      <c r="L436" s="5"/>
      <c r="M436" s="6"/>
      <c r="P436" s="6"/>
      <c r="Q436" s="6"/>
      <c r="U436" s="5"/>
      <c r="V436" s="6"/>
      <c r="Y436" s="6"/>
      <c r="Z436" s="6"/>
      <c r="AD436" s="5"/>
      <c r="AE436" s="6"/>
      <c r="AH436" s="6"/>
      <c r="AI436" s="6"/>
      <c r="AM436" s="5"/>
      <c r="AN436" s="6"/>
      <c r="AQ436" s="6"/>
      <c r="AR436" s="6"/>
    </row>
    <row r="437" spans="3:44" ht="13.2" x14ac:dyDescent="0.25">
      <c r="C437" s="5"/>
      <c r="D437" s="6"/>
      <c r="G437" s="6"/>
      <c r="H437" s="6"/>
      <c r="L437" s="5"/>
      <c r="M437" s="6"/>
      <c r="P437" s="6"/>
      <c r="Q437" s="6"/>
      <c r="U437" s="5"/>
      <c r="V437" s="6"/>
      <c r="Y437" s="6"/>
      <c r="Z437" s="6"/>
      <c r="AD437" s="5"/>
      <c r="AE437" s="6"/>
      <c r="AH437" s="6"/>
      <c r="AI437" s="6"/>
      <c r="AM437" s="5"/>
      <c r="AN437" s="6"/>
      <c r="AQ437" s="6"/>
      <c r="AR437" s="6"/>
    </row>
    <row r="438" spans="3:44" ht="13.2" x14ac:dyDescent="0.25">
      <c r="C438" s="5"/>
      <c r="D438" s="6"/>
      <c r="G438" s="6"/>
      <c r="H438" s="6"/>
      <c r="L438" s="5"/>
      <c r="M438" s="6"/>
      <c r="P438" s="6"/>
      <c r="Q438" s="6"/>
      <c r="U438" s="5"/>
      <c r="V438" s="6"/>
      <c r="Y438" s="6"/>
      <c r="Z438" s="6"/>
      <c r="AD438" s="5"/>
      <c r="AE438" s="6"/>
      <c r="AH438" s="6"/>
      <c r="AI438" s="6"/>
      <c r="AM438" s="5"/>
      <c r="AN438" s="6"/>
      <c r="AQ438" s="6"/>
      <c r="AR438" s="6"/>
    </row>
    <row r="439" spans="3:44" ht="13.2" x14ac:dyDescent="0.25">
      <c r="C439" s="5"/>
      <c r="D439" s="6"/>
      <c r="G439" s="6"/>
      <c r="H439" s="6"/>
      <c r="L439" s="5"/>
      <c r="M439" s="6"/>
      <c r="P439" s="6"/>
      <c r="Q439" s="6"/>
      <c r="U439" s="5"/>
      <c r="V439" s="6"/>
      <c r="Y439" s="6"/>
      <c r="Z439" s="6"/>
      <c r="AD439" s="5"/>
      <c r="AE439" s="6"/>
      <c r="AH439" s="6"/>
      <c r="AI439" s="6"/>
      <c r="AM439" s="5"/>
      <c r="AN439" s="6"/>
      <c r="AQ439" s="6"/>
      <c r="AR439" s="6"/>
    </row>
    <row r="440" spans="3:44" ht="13.2" x14ac:dyDescent="0.25">
      <c r="C440" s="5"/>
      <c r="D440" s="6"/>
      <c r="G440" s="6"/>
      <c r="H440" s="6"/>
      <c r="L440" s="5"/>
      <c r="M440" s="6"/>
      <c r="P440" s="6"/>
      <c r="Q440" s="6"/>
      <c r="U440" s="5"/>
      <c r="V440" s="6"/>
      <c r="Y440" s="6"/>
      <c r="Z440" s="6"/>
      <c r="AD440" s="5"/>
      <c r="AE440" s="6"/>
      <c r="AH440" s="6"/>
      <c r="AI440" s="6"/>
      <c r="AM440" s="5"/>
      <c r="AN440" s="6"/>
      <c r="AQ440" s="6"/>
      <c r="AR440" s="6"/>
    </row>
    <row r="441" spans="3:44" ht="13.2" x14ac:dyDescent="0.25">
      <c r="C441" s="5"/>
      <c r="D441" s="6"/>
      <c r="G441" s="6"/>
      <c r="H441" s="6"/>
      <c r="L441" s="5"/>
      <c r="M441" s="6"/>
      <c r="P441" s="6"/>
      <c r="Q441" s="6"/>
      <c r="U441" s="5"/>
      <c r="V441" s="6"/>
      <c r="Y441" s="6"/>
      <c r="Z441" s="6"/>
      <c r="AD441" s="5"/>
      <c r="AE441" s="6"/>
      <c r="AH441" s="6"/>
      <c r="AI441" s="6"/>
      <c r="AM441" s="5"/>
      <c r="AN441" s="6"/>
      <c r="AQ441" s="6"/>
      <c r="AR441" s="6"/>
    </row>
    <row r="442" spans="3:44" ht="13.2" x14ac:dyDescent="0.25">
      <c r="C442" s="5"/>
      <c r="D442" s="6"/>
      <c r="G442" s="6"/>
      <c r="H442" s="6"/>
      <c r="L442" s="5"/>
      <c r="M442" s="6"/>
      <c r="P442" s="6"/>
      <c r="Q442" s="6"/>
      <c r="U442" s="5"/>
      <c r="V442" s="6"/>
      <c r="Y442" s="6"/>
      <c r="Z442" s="6"/>
      <c r="AD442" s="5"/>
      <c r="AE442" s="6"/>
      <c r="AH442" s="6"/>
      <c r="AI442" s="6"/>
      <c r="AM442" s="5"/>
      <c r="AN442" s="6"/>
      <c r="AQ442" s="6"/>
      <c r="AR442" s="6"/>
    </row>
    <row r="443" spans="3:44" ht="13.2" x14ac:dyDescent="0.25">
      <c r="C443" s="5"/>
      <c r="D443" s="6"/>
      <c r="G443" s="6"/>
      <c r="H443" s="6"/>
      <c r="L443" s="5"/>
      <c r="M443" s="6"/>
      <c r="P443" s="6"/>
      <c r="Q443" s="6"/>
      <c r="U443" s="5"/>
      <c r="V443" s="6"/>
      <c r="Y443" s="6"/>
      <c r="Z443" s="6"/>
      <c r="AD443" s="5"/>
      <c r="AE443" s="6"/>
      <c r="AH443" s="6"/>
      <c r="AI443" s="6"/>
      <c r="AM443" s="5"/>
      <c r="AN443" s="6"/>
      <c r="AQ443" s="6"/>
      <c r="AR443" s="6"/>
    </row>
    <row r="444" spans="3:44" ht="13.2" x14ac:dyDescent="0.25">
      <c r="C444" s="5"/>
      <c r="D444" s="6"/>
      <c r="G444" s="6"/>
      <c r="H444" s="6"/>
      <c r="L444" s="5"/>
      <c r="M444" s="6"/>
      <c r="P444" s="6"/>
      <c r="Q444" s="6"/>
      <c r="U444" s="5"/>
      <c r="V444" s="6"/>
      <c r="Y444" s="6"/>
      <c r="Z444" s="6"/>
      <c r="AD444" s="5"/>
      <c r="AE444" s="6"/>
      <c r="AH444" s="6"/>
      <c r="AI444" s="6"/>
      <c r="AM444" s="5"/>
      <c r="AN444" s="6"/>
      <c r="AQ444" s="6"/>
      <c r="AR444" s="6"/>
    </row>
    <row r="445" spans="3:44" ht="13.2" x14ac:dyDescent="0.25">
      <c r="C445" s="5"/>
      <c r="D445" s="6"/>
      <c r="G445" s="6"/>
      <c r="H445" s="6"/>
      <c r="L445" s="5"/>
      <c r="M445" s="6"/>
      <c r="P445" s="6"/>
      <c r="Q445" s="6"/>
      <c r="U445" s="5"/>
      <c r="V445" s="6"/>
      <c r="Y445" s="6"/>
      <c r="Z445" s="6"/>
      <c r="AD445" s="5"/>
      <c r="AE445" s="6"/>
      <c r="AH445" s="6"/>
      <c r="AI445" s="6"/>
      <c r="AM445" s="5"/>
      <c r="AN445" s="6"/>
      <c r="AQ445" s="6"/>
      <c r="AR445" s="6"/>
    </row>
    <row r="446" spans="3:44" ht="13.2" x14ac:dyDescent="0.25">
      <c r="C446" s="5"/>
      <c r="D446" s="6"/>
      <c r="G446" s="6"/>
      <c r="H446" s="6"/>
      <c r="L446" s="5"/>
      <c r="M446" s="6"/>
      <c r="P446" s="6"/>
      <c r="Q446" s="6"/>
      <c r="U446" s="5"/>
      <c r="V446" s="6"/>
      <c r="Y446" s="6"/>
      <c r="Z446" s="6"/>
      <c r="AD446" s="5"/>
      <c r="AE446" s="6"/>
      <c r="AH446" s="6"/>
      <c r="AI446" s="6"/>
      <c r="AM446" s="5"/>
      <c r="AN446" s="6"/>
      <c r="AQ446" s="6"/>
      <c r="AR446" s="6"/>
    </row>
    <row r="447" spans="3:44" ht="13.2" x14ac:dyDescent="0.25">
      <c r="C447" s="5"/>
      <c r="D447" s="6"/>
      <c r="G447" s="6"/>
      <c r="H447" s="6"/>
      <c r="L447" s="5"/>
      <c r="M447" s="6"/>
      <c r="P447" s="6"/>
      <c r="Q447" s="6"/>
      <c r="U447" s="5"/>
      <c r="V447" s="6"/>
      <c r="Y447" s="6"/>
      <c r="Z447" s="6"/>
      <c r="AD447" s="5"/>
      <c r="AE447" s="6"/>
      <c r="AH447" s="6"/>
      <c r="AI447" s="6"/>
      <c r="AM447" s="5"/>
      <c r="AN447" s="6"/>
      <c r="AQ447" s="6"/>
      <c r="AR447" s="6"/>
    </row>
    <row r="448" spans="3:44" ht="13.2" x14ac:dyDescent="0.25">
      <c r="C448" s="5"/>
      <c r="D448" s="6"/>
      <c r="G448" s="6"/>
      <c r="H448" s="6"/>
      <c r="L448" s="5"/>
      <c r="M448" s="6"/>
      <c r="P448" s="6"/>
      <c r="Q448" s="6"/>
      <c r="U448" s="5"/>
      <c r="V448" s="6"/>
      <c r="Y448" s="6"/>
      <c r="Z448" s="6"/>
      <c r="AD448" s="5"/>
      <c r="AE448" s="6"/>
      <c r="AH448" s="6"/>
      <c r="AI448" s="6"/>
      <c r="AM448" s="5"/>
      <c r="AN448" s="6"/>
      <c r="AQ448" s="6"/>
      <c r="AR448" s="6"/>
    </row>
    <row r="449" spans="3:44" ht="13.2" x14ac:dyDescent="0.25">
      <c r="C449" s="5"/>
      <c r="D449" s="6"/>
      <c r="G449" s="6"/>
      <c r="H449" s="6"/>
      <c r="L449" s="5"/>
      <c r="M449" s="6"/>
      <c r="P449" s="6"/>
      <c r="Q449" s="6"/>
      <c r="U449" s="5"/>
      <c r="V449" s="6"/>
      <c r="Y449" s="6"/>
      <c r="Z449" s="6"/>
      <c r="AD449" s="5"/>
      <c r="AE449" s="6"/>
      <c r="AH449" s="6"/>
      <c r="AI449" s="6"/>
      <c r="AM449" s="5"/>
      <c r="AN449" s="6"/>
      <c r="AQ449" s="6"/>
      <c r="AR449" s="6"/>
    </row>
    <row r="450" spans="3:44" ht="13.2" x14ac:dyDescent="0.25">
      <c r="C450" s="5"/>
      <c r="D450" s="6"/>
      <c r="G450" s="6"/>
      <c r="H450" s="6"/>
      <c r="L450" s="5"/>
      <c r="M450" s="6"/>
      <c r="P450" s="6"/>
      <c r="Q450" s="6"/>
      <c r="U450" s="5"/>
      <c r="V450" s="6"/>
      <c r="Y450" s="6"/>
      <c r="Z450" s="6"/>
      <c r="AD450" s="5"/>
      <c r="AE450" s="6"/>
      <c r="AH450" s="6"/>
      <c r="AI450" s="6"/>
      <c r="AM450" s="5"/>
      <c r="AN450" s="6"/>
      <c r="AQ450" s="6"/>
      <c r="AR450" s="6"/>
    </row>
    <row r="451" spans="3:44" ht="13.2" x14ac:dyDescent="0.25">
      <c r="C451" s="5"/>
      <c r="D451" s="6"/>
      <c r="G451" s="6"/>
      <c r="H451" s="6"/>
      <c r="L451" s="5"/>
      <c r="M451" s="6"/>
      <c r="P451" s="6"/>
      <c r="Q451" s="6"/>
      <c r="U451" s="5"/>
      <c r="V451" s="6"/>
      <c r="Y451" s="6"/>
      <c r="Z451" s="6"/>
      <c r="AD451" s="5"/>
      <c r="AE451" s="6"/>
      <c r="AH451" s="6"/>
      <c r="AI451" s="6"/>
      <c r="AM451" s="5"/>
      <c r="AN451" s="6"/>
      <c r="AQ451" s="6"/>
      <c r="AR451" s="6"/>
    </row>
    <row r="452" spans="3:44" ht="13.2" x14ac:dyDescent="0.25">
      <c r="C452" s="5"/>
      <c r="D452" s="6"/>
      <c r="G452" s="6"/>
      <c r="H452" s="6"/>
      <c r="L452" s="5"/>
      <c r="M452" s="6"/>
      <c r="P452" s="6"/>
      <c r="Q452" s="6"/>
      <c r="U452" s="5"/>
      <c r="V452" s="6"/>
      <c r="Y452" s="6"/>
      <c r="Z452" s="6"/>
      <c r="AD452" s="5"/>
      <c r="AE452" s="6"/>
      <c r="AH452" s="6"/>
      <c r="AI452" s="6"/>
      <c r="AM452" s="5"/>
      <c r="AN452" s="6"/>
      <c r="AQ452" s="6"/>
      <c r="AR452" s="6"/>
    </row>
    <row r="453" spans="3:44" ht="13.2" x14ac:dyDescent="0.25">
      <c r="C453" s="5"/>
      <c r="D453" s="6"/>
      <c r="G453" s="6"/>
      <c r="H453" s="6"/>
      <c r="L453" s="5"/>
      <c r="M453" s="6"/>
      <c r="P453" s="6"/>
      <c r="Q453" s="6"/>
      <c r="U453" s="5"/>
      <c r="V453" s="6"/>
      <c r="Y453" s="6"/>
      <c r="Z453" s="6"/>
      <c r="AD453" s="5"/>
      <c r="AE453" s="6"/>
      <c r="AH453" s="6"/>
      <c r="AI453" s="6"/>
      <c r="AM453" s="5"/>
      <c r="AN453" s="6"/>
      <c r="AQ453" s="6"/>
      <c r="AR453" s="6"/>
    </row>
    <row r="454" spans="3:44" ht="13.2" x14ac:dyDescent="0.25">
      <c r="C454" s="5"/>
      <c r="D454" s="6"/>
      <c r="G454" s="6"/>
      <c r="H454" s="6"/>
      <c r="L454" s="5"/>
      <c r="M454" s="6"/>
      <c r="P454" s="6"/>
      <c r="Q454" s="6"/>
      <c r="U454" s="5"/>
      <c r="V454" s="6"/>
      <c r="Y454" s="6"/>
      <c r="Z454" s="6"/>
      <c r="AD454" s="5"/>
      <c r="AE454" s="6"/>
      <c r="AH454" s="6"/>
      <c r="AI454" s="6"/>
      <c r="AM454" s="5"/>
      <c r="AN454" s="6"/>
      <c r="AQ454" s="6"/>
      <c r="AR454" s="6"/>
    </row>
    <row r="455" spans="3:44" ht="13.2" x14ac:dyDescent="0.25">
      <c r="C455" s="5"/>
      <c r="D455" s="6"/>
      <c r="G455" s="6"/>
      <c r="H455" s="6"/>
      <c r="L455" s="5"/>
      <c r="M455" s="6"/>
      <c r="P455" s="6"/>
      <c r="Q455" s="6"/>
      <c r="U455" s="5"/>
      <c r="V455" s="6"/>
      <c r="Y455" s="6"/>
      <c r="Z455" s="6"/>
      <c r="AD455" s="5"/>
      <c r="AE455" s="6"/>
      <c r="AH455" s="6"/>
      <c r="AI455" s="6"/>
      <c r="AM455" s="5"/>
      <c r="AN455" s="6"/>
      <c r="AQ455" s="6"/>
      <c r="AR455" s="6"/>
    </row>
    <row r="456" spans="3:44" ht="13.2" x14ac:dyDescent="0.25">
      <c r="C456" s="5"/>
      <c r="D456" s="6"/>
      <c r="G456" s="6"/>
      <c r="H456" s="6"/>
      <c r="L456" s="5"/>
      <c r="M456" s="6"/>
      <c r="P456" s="6"/>
      <c r="Q456" s="6"/>
      <c r="U456" s="5"/>
      <c r="V456" s="6"/>
      <c r="Y456" s="6"/>
      <c r="Z456" s="6"/>
      <c r="AD456" s="5"/>
      <c r="AE456" s="6"/>
      <c r="AH456" s="6"/>
      <c r="AI456" s="6"/>
      <c r="AM456" s="5"/>
      <c r="AN456" s="6"/>
      <c r="AQ456" s="6"/>
      <c r="AR456" s="6"/>
    </row>
    <row r="457" spans="3:44" ht="13.2" x14ac:dyDescent="0.25">
      <c r="C457" s="5"/>
      <c r="D457" s="6"/>
      <c r="G457" s="6"/>
      <c r="H457" s="6"/>
      <c r="L457" s="5"/>
      <c r="M457" s="6"/>
      <c r="P457" s="6"/>
      <c r="Q457" s="6"/>
      <c r="U457" s="5"/>
      <c r="V457" s="6"/>
      <c r="Y457" s="6"/>
      <c r="Z457" s="6"/>
      <c r="AD457" s="5"/>
      <c r="AE457" s="6"/>
      <c r="AH457" s="6"/>
      <c r="AI457" s="6"/>
      <c r="AM457" s="5"/>
      <c r="AN457" s="6"/>
      <c r="AQ457" s="6"/>
      <c r="AR457" s="6"/>
    </row>
    <row r="458" spans="3:44" ht="13.2" x14ac:dyDescent="0.25">
      <c r="C458" s="5"/>
      <c r="D458" s="6"/>
      <c r="G458" s="6"/>
      <c r="H458" s="6"/>
      <c r="L458" s="5"/>
      <c r="M458" s="6"/>
      <c r="P458" s="6"/>
      <c r="Q458" s="6"/>
      <c r="U458" s="5"/>
      <c r="V458" s="6"/>
      <c r="Y458" s="6"/>
      <c r="Z458" s="6"/>
      <c r="AD458" s="5"/>
      <c r="AE458" s="6"/>
      <c r="AH458" s="6"/>
      <c r="AI458" s="6"/>
      <c r="AM458" s="5"/>
      <c r="AN458" s="6"/>
      <c r="AQ458" s="6"/>
      <c r="AR458" s="6"/>
    </row>
    <row r="459" spans="3:44" ht="13.2" x14ac:dyDescent="0.25">
      <c r="C459" s="5"/>
      <c r="D459" s="6"/>
      <c r="G459" s="6"/>
      <c r="H459" s="6"/>
      <c r="L459" s="5"/>
      <c r="M459" s="6"/>
      <c r="P459" s="6"/>
      <c r="Q459" s="6"/>
      <c r="U459" s="5"/>
      <c r="V459" s="6"/>
      <c r="Y459" s="6"/>
      <c r="Z459" s="6"/>
      <c r="AD459" s="5"/>
      <c r="AE459" s="6"/>
      <c r="AH459" s="6"/>
      <c r="AI459" s="6"/>
      <c r="AM459" s="5"/>
      <c r="AN459" s="6"/>
      <c r="AQ459" s="6"/>
      <c r="AR459" s="6"/>
    </row>
    <row r="460" spans="3:44" ht="13.2" x14ac:dyDescent="0.25">
      <c r="C460" s="5"/>
      <c r="D460" s="6"/>
      <c r="G460" s="6"/>
      <c r="H460" s="6"/>
      <c r="L460" s="5"/>
      <c r="M460" s="6"/>
      <c r="P460" s="6"/>
      <c r="Q460" s="6"/>
      <c r="U460" s="5"/>
      <c r="V460" s="6"/>
      <c r="Y460" s="6"/>
      <c r="Z460" s="6"/>
      <c r="AD460" s="5"/>
      <c r="AE460" s="6"/>
      <c r="AH460" s="6"/>
      <c r="AI460" s="6"/>
      <c r="AM460" s="5"/>
      <c r="AN460" s="6"/>
      <c r="AQ460" s="6"/>
      <c r="AR460" s="6"/>
    </row>
    <row r="461" spans="3:44" ht="13.2" x14ac:dyDescent="0.25">
      <c r="C461" s="5"/>
      <c r="D461" s="6"/>
      <c r="G461" s="6"/>
      <c r="H461" s="6"/>
      <c r="L461" s="5"/>
      <c r="M461" s="6"/>
      <c r="P461" s="6"/>
      <c r="Q461" s="6"/>
      <c r="U461" s="5"/>
      <c r="V461" s="6"/>
      <c r="Y461" s="6"/>
      <c r="Z461" s="6"/>
      <c r="AD461" s="5"/>
      <c r="AE461" s="6"/>
      <c r="AH461" s="6"/>
      <c r="AI461" s="6"/>
      <c r="AM461" s="5"/>
      <c r="AN461" s="6"/>
      <c r="AQ461" s="6"/>
      <c r="AR461" s="6"/>
    </row>
    <row r="462" spans="3:44" ht="13.2" x14ac:dyDescent="0.25">
      <c r="C462" s="5"/>
      <c r="D462" s="6"/>
      <c r="G462" s="6"/>
      <c r="H462" s="6"/>
      <c r="L462" s="5"/>
      <c r="M462" s="6"/>
      <c r="P462" s="6"/>
      <c r="Q462" s="6"/>
      <c r="U462" s="5"/>
      <c r="V462" s="6"/>
      <c r="Y462" s="6"/>
      <c r="Z462" s="6"/>
      <c r="AD462" s="5"/>
      <c r="AE462" s="6"/>
      <c r="AH462" s="6"/>
      <c r="AI462" s="6"/>
      <c r="AM462" s="5"/>
      <c r="AN462" s="6"/>
      <c r="AQ462" s="6"/>
      <c r="AR462" s="6"/>
    </row>
    <row r="463" spans="3:44" ht="13.2" x14ac:dyDescent="0.25">
      <c r="C463" s="5"/>
      <c r="D463" s="6"/>
      <c r="G463" s="6"/>
      <c r="H463" s="6"/>
      <c r="L463" s="5"/>
      <c r="M463" s="6"/>
      <c r="P463" s="6"/>
      <c r="Q463" s="6"/>
      <c r="U463" s="5"/>
      <c r="V463" s="6"/>
      <c r="Y463" s="6"/>
      <c r="Z463" s="6"/>
      <c r="AD463" s="5"/>
      <c r="AE463" s="6"/>
      <c r="AH463" s="6"/>
      <c r="AI463" s="6"/>
      <c r="AM463" s="5"/>
      <c r="AN463" s="6"/>
      <c r="AQ463" s="6"/>
      <c r="AR463" s="6"/>
    </row>
    <row r="464" spans="3:44" ht="13.2" x14ac:dyDescent="0.25">
      <c r="C464" s="5"/>
      <c r="D464" s="6"/>
      <c r="G464" s="6"/>
      <c r="H464" s="6"/>
      <c r="L464" s="5"/>
      <c r="M464" s="6"/>
      <c r="P464" s="6"/>
      <c r="Q464" s="6"/>
      <c r="U464" s="5"/>
      <c r="V464" s="6"/>
      <c r="Y464" s="6"/>
      <c r="Z464" s="6"/>
      <c r="AD464" s="5"/>
      <c r="AE464" s="6"/>
      <c r="AH464" s="6"/>
      <c r="AI464" s="6"/>
      <c r="AM464" s="5"/>
      <c r="AN464" s="6"/>
      <c r="AQ464" s="6"/>
      <c r="AR464" s="6"/>
    </row>
    <row r="465" spans="3:44" ht="13.2" x14ac:dyDescent="0.25">
      <c r="C465" s="5"/>
      <c r="D465" s="6"/>
      <c r="G465" s="6"/>
      <c r="H465" s="6"/>
      <c r="L465" s="5"/>
      <c r="M465" s="6"/>
      <c r="P465" s="6"/>
      <c r="Q465" s="6"/>
      <c r="U465" s="5"/>
      <c r="V465" s="6"/>
      <c r="Y465" s="6"/>
      <c r="Z465" s="6"/>
      <c r="AD465" s="5"/>
      <c r="AE465" s="6"/>
      <c r="AH465" s="6"/>
      <c r="AI465" s="6"/>
      <c r="AM465" s="5"/>
      <c r="AN465" s="6"/>
      <c r="AQ465" s="6"/>
      <c r="AR465" s="6"/>
    </row>
    <row r="466" spans="3:44" ht="13.2" x14ac:dyDescent="0.25">
      <c r="C466" s="5"/>
      <c r="D466" s="6"/>
      <c r="G466" s="6"/>
      <c r="H466" s="6"/>
      <c r="L466" s="5"/>
      <c r="M466" s="6"/>
      <c r="P466" s="6"/>
      <c r="Q466" s="6"/>
      <c r="U466" s="5"/>
      <c r="V466" s="6"/>
      <c r="Y466" s="6"/>
      <c r="Z466" s="6"/>
      <c r="AD466" s="5"/>
      <c r="AE466" s="6"/>
      <c r="AH466" s="6"/>
      <c r="AI466" s="6"/>
      <c r="AM466" s="5"/>
      <c r="AN466" s="6"/>
      <c r="AQ466" s="6"/>
      <c r="AR466" s="6"/>
    </row>
    <row r="467" spans="3:44" ht="13.2" x14ac:dyDescent="0.25">
      <c r="C467" s="5"/>
      <c r="D467" s="6"/>
      <c r="G467" s="6"/>
      <c r="H467" s="6"/>
      <c r="L467" s="5"/>
      <c r="M467" s="6"/>
      <c r="P467" s="6"/>
      <c r="Q467" s="6"/>
      <c r="U467" s="5"/>
      <c r="V467" s="6"/>
      <c r="Y467" s="6"/>
      <c r="Z467" s="6"/>
      <c r="AD467" s="5"/>
      <c r="AE467" s="6"/>
      <c r="AH467" s="6"/>
      <c r="AI467" s="6"/>
      <c r="AM467" s="5"/>
      <c r="AN467" s="6"/>
      <c r="AQ467" s="6"/>
      <c r="AR467" s="6"/>
    </row>
    <row r="468" spans="3:44" ht="13.2" x14ac:dyDescent="0.25">
      <c r="C468" s="5"/>
      <c r="D468" s="6"/>
      <c r="G468" s="6"/>
      <c r="H468" s="6"/>
      <c r="L468" s="5"/>
      <c r="M468" s="6"/>
      <c r="P468" s="6"/>
      <c r="Q468" s="6"/>
      <c r="U468" s="5"/>
      <c r="V468" s="6"/>
      <c r="Y468" s="6"/>
      <c r="Z468" s="6"/>
      <c r="AD468" s="5"/>
      <c r="AE468" s="6"/>
      <c r="AH468" s="6"/>
      <c r="AI468" s="6"/>
      <c r="AM468" s="5"/>
      <c r="AN468" s="6"/>
      <c r="AQ468" s="6"/>
      <c r="AR468" s="6"/>
    </row>
    <row r="469" spans="3:44" ht="13.2" x14ac:dyDescent="0.25">
      <c r="C469" s="5"/>
      <c r="D469" s="6"/>
      <c r="G469" s="6"/>
      <c r="H469" s="6"/>
      <c r="L469" s="5"/>
      <c r="M469" s="6"/>
      <c r="P469" s="6"/>
      <c r="Q469" s="6"/>
      <c r="U469" s="5"/>
      <c r="V469" s="6"/>
      <c r="Y469" s="6"/>
      <c r="Z469" s="6"/>
      <c r="AD469" s="5"/>
      <c r="AE469" s="6"/>
      <c r="AH469" s="6"/>
      <c r="AI469" s="6"/>
      <c r="AM469" s="5"/>
      <c r="AN469" s="6"/>
      <c r="AQ469" s="6"/>
      <c r="AR469" s="6"/>
    </row>
    <row r="470" spans="3:44" ht="13.2" x14ac:dyDescent="0.25">
      <c r="C470" s="5"/>
      <c r="D470" s="6"/>
      <c r="G470" s="6"/>
      <c r="H470" s="6"/>
      <c r="L470" s="5"/>
      <c r="M470" s="6"/>
      <c r="P470" s="6"/>
      <c r="Q470" s="6"/>
      <c r="U470" s="5"/>
      <c r="V470" s="6"/>
      <c r="Y470" s="6"/>
      <c r="Z470" s="6"/>
      <c r="AD470" s="5"/>
      <c r="AE470" s="6"/>
      <c r="AH470" s="6"/>
      <c r="AI470" s="6"/>
      <c r="AM470" s="5"/>
      <c r="AN470" s="6"/>
      <c r="AQ470" s="6"/>
      <c r="AR470" s="6"/>
    </row>
    <row r="471" spans="3:44" ht="13.2" x14ac:dyDescent="0.25">
      <c r="C471" s="5"/>
      <c r="D471" s="6"/>
      <c r="G471" s="6"/>
      <c r="H471" s="6"/>
      <c r="L471" s="5"/>
      <c r="M471" s="6"/>
      <c r="P471" s="6"/>
      <c r="Q471" s="6"/>
      <c r="U471" s="5"/>
      <c r="V471" s="6"/>
      <c r="Y471" s="6"/>
      <c r="Z471" s="6"/>
      <c r="AD471" s="5"/>
      <c r="AE471" s="6"/>
      <c r="AH471" s="6"/>
      <c r="AI471" s="6"/>
      <c r="AM471" s="5"/>
      <c r="AN471" s="6"/>
      <c r="AQ471" s="6"/>
      <c r="AR471" s="6"/>
    </row>
    <row r="472" spans="3:44" ht="13.2" x14ac:dyDescent="0.25">
      <c r="C472" s="5"/>
      <c r="D472" s="6"/>
      <c r="G472" s="6"/>
      <c r="H472" s="6"/>
      <c r="L472" s="5"/>
      <c r="M472" s="6"/>
      <c r="P472" s="6"/>
      <c r="Q472" s="6"/>
      <c r="U472" s="5"/>
      <c r="V472" s="6"/>
      <c r="Y472" s="6"/>
      <c r="Z472" s="6"/>
      <c r="AD472" s="5"/>
      <c r="AE472" s="6"/>
      <c r="AH472" s="6"/>
      <c r="AI472" s="6"/>
      <c r="AM472" s="5"/>
      <c r="AN472" s="6"/>
      <c r="AQ472" s="6"/>
      <c r="AR472" s="6"/>
    </row>
    <row r="473" spans="3:44" ht="13.2" x14ac:dyDescent="0.25">
      <c r="C473" s="5"/>
      <c r="D473" s="6"/>
      <c r="G473" s="6"/>
      <c r="H473" s="6"/>
      <c r="L473" s="5"/>
      <c r="M473" s="6"/>
      <c r="P473" s="6"/>
      <c r="Q473" s="6"/>
      <c r="U473" s="5"/>
      <c r="V473" s="6"/>
      <c r="Y473" s="6"/>
      <c r="Z473" s="6"/>
      <c r="AD473" s="5"/>
      <c r="AE473" s="6"/>
      <c r="AH473" s="6"/>
      <c r="AI473" s="6"/>
      <c r="AM473" s="5"/>
      <c r="AN473" s="6"/>
      <c r="AQ473" s="6"/>
      <c r="AR473" s="6"/>
    </row>
    <row r="474" spans="3:44" ht="13.2" x14ac:dyDescent="0.25">
      <c r="C474" s="5"/>
      <c r="D474" s="6"/>
      <c r="G474" s="6"/>
      <c r="H474" s="6"/>
      <c r="L474" s="5"/>
      <c r="M474" s="6"/>
      <c r="P474" s="6"/>
      <c r="Q474" s="6"/>
      <c r="U474" s="5"/>
      <c r="V474" s="6"/>
      <c r="Y474" s="6"/>
      <c r="Z474" s="6"/>
      <c r="AD474" s="5"/>
      <c r="AE474" s="6"/>
      <c r="AH474" s="6"/>
      <c r="AI474" s="6"/>
      <c r="AM474" s="5"/>
      <c r="AN474" s="6"/>
      <c r="AQ474" s="6"/>
      <c r="AR474" s="6"/>
    </row>
    <row r="475" spans="3:44" ht="13.2" x14ac:dyDescent="0.25">
      <c r="C475" s="5"/>
      <c r="D475" s="6"/>
      <c r="G475" s="6"/>
      <c r="H475" s="6"/>
      <c r="L475" s="5"/>
      <c r="M475" s="6"/>
      <c r="P475" s="6"/>
      <c r="Q475" s="6"/>
      <c r="U475" s="5"/>
      <c r="V475" s="6"/>
      <c r="Y475" s="6"/>
      <c r="Z475" s="6"/>
      <c r="AD475" s="5"/>
      <c r="AE475" s="6"/>
      <c r="AH475" s="6"/>
      <c r="AI475" s="6"/>
      <c r="AM475" s="5"/>
      <c r="AN475" s="6"/>
      <c r="AQ475" s="6"/>
      <c r="AR475" s="6"/>
    </row>
    <row r="476" spans="3:44" ht="13.2" x14ac:dyDescent="0.25">
      <c r="C476" s="5"/>
      <c r="D476" s="6"/>
      <c r="G476" s="6"/>
      <c r="H476" s="6"/>
      <c r="L476" s="5"/>
      <c r="M476" s="6"/>
      <c r="P476" s="6"/>
      <c r="Q476" s="6"/>
      <c r="U476" s="5"/>
      <c r="V476" s="6"/>
      <c r="Y476" s="6"/>
      <c r="Z476" s="6"/>
      <c r="AD476" s="5"/>
      <c r="AE476" s="6"/>
      <c r="AH476" s="6"/>
      <c r="AI476" s="6"/>
      <c r="AM476" s="5"/>
      <c r="AN476" s="6"/>
      <c r="AQ476" s="6"/>
      <c r="AR476" s="6"/>
    </row>
    <row r="477" spans="3:44" ht="13.2" x14ac:dyDescent="0.25">
      <c r="C477" s="5"/>
      <c r="D477" s="6"/>
      <c r="G477" s="6"/>
      <c r="H477" s="6"/>
      <c r="L477" s="5"/>
      <c r="M477" s="6"/>
      <c r="P477" s="6"/>
      <c r="Q477" s="6"/>
      <c r="U477" s="5"/>
      <c r="V477" s="6"/>
      <c r="Y477" s="6"/>
      <c r="Z477" s="6"/>
      <c r="AD477" s="5"/>
      <c r="AE477" s="6"/>
      <c r="AH477" s="6"/>
      <c r="AI477" s="6"/>
      <c r="AM477" s="5"/>
      <c r="AN477" s="6"/>
      <c r="AQ477" s="6"/>
      <c r="AR477" s="6"/>
    </row>
    <row r="478" spans="3:44" ht="13.2" x14ac:dyDescent="0.25">
      <c r="C478" s="5"/>
      <c r="D478" s="6"/>
      <c r="G478" s="6"/>
      <c r="H478" s="6"/>
      <c r="L478" s="5"/>
      <c r="M478" s="6"/>
      <c r="P478" s="6"/>
      <c r="Q478" s="6"/>
      <c r="U478" s="5"/>
      <c r="V478" s="6"/>
      <c r="Y478" s="6"/>
      <c r="Z478" s="6"/>
      <c r="AD478" s="5"/>
      <c r="AE478" s="6"/>
      <c r="AH478" s="6"/>
      <c r="AI478" s="6"/>
      <c r="AM478" s="5"/>
      <c r="AN478" s="6"/>
      <c r="AQ478" s="6"/>
      <c r="AR478" s="6"/>
    </row>
    <row r="479" spans="3:44" ht="13.2" x14ac:dyDescent="0.25">
      <c r="C479" s="5"/>
      <c r="D479" s="6"/>
      <c r="G479" s="6"/>
      <c r="H479" s="6"/>
      <c r="L479" s="5"/>
      <c r="M479" s="6"/>
      <c r="P479" s="6"/>
      <c r="Q479" s="6"/>
      <c r="U479" s="5"/>
      <c r="V479" s="6"/>
      <c r="Y479" s="6"/>
      <c r="Z479" s="6"/>
      <c r="AD479" s="5"/>
      <c r="AE479" s="6"/>
      <c r="AH479" s="6"/>
      <c r="AI479" s="6"/>
      <c r="AM479" s="5"/>
      <c r="AN479" s="6"/>
      <c r="AQ479" s="6"/>
      <c r="AR479" s="6"/>
    </row>
    <row r="480" spans="3:44" ht="13.2" x14ac:dyDescent="0.25">
      <c r="C480" s="5"/>
      <c r="D480" s="6"/>
      <c r="G480" s="6"/>
      <c r="H480" s="6"/>
      <c r="L480" s="5"/>
      <c r="M480" s="6"/>
      <c r="P480" s="6"/>
      <c r="Q480" s="6"/>
      <c r="U480" s="5"/>
      <c r="V480" s="6"/>
      <c r="Y480" s="6"/>
      <c r="Z480" s="6"/>
      <c r="AD480" s="5"/>
      <c r="AE480" s="6"/>
      <c r="AH480" s="6"/>
      <c r="AI480" s="6"/>
      <c r="AM480" s="5"/>
      <c r="AN480" s="6"/>
      <c r="AQ480" s="6"/>
      <c r="AR480" s="6"/>
    </row>
    <row r="481" spans="3:44" ht="13.2" x14ac:dyDescent="0.25">
      <c r="C481" s="5"/>
      <c r="D481" s="6"/>
      <c r="G481" s="6"/>
      <c r="H481" s="6"/>
      <c r="L481" s="5"/>
      <c r="M481" s="6"/>
      <c r="P481" s="6"/>
      <c r="Q481" s="6"/>
      <c r="U481" s="5"/>
      <c r="V481" s="6"/>
      <c r="Y481" s="6"/>
      <c r="Z481" s="6"/>
      <c r="AD481" s="5"/>
      <c r="AE481" s="6"/>
      <c r="AH481" s="6"/>
      <c r="AI481" s="6"/>
      <c r="AM481" s="5"/>
      <c r="AN481" s="6"/>
      <c r="AQ481" s="6"/>
      <c r="AR481" s="6"/>
    </row>
    <row r="482" spans="3:44" ht="13.2" x14ac:dyDescent="0.25">
      <c r="C482" s="5"/>
      <c r="D482" s="6"/>
      <c r="G482" s="6"/>
      <c r="H482" s="6"/>
      <c r="L482" s="5"/>
      <c r="M482" s="6"/>
      <c r="P482" s="6"/>
      <c r="Q482" s="6"/>
      <c r="U482" s="5"/>
      <c r="V482" s="6"/>
      <c r="Y482" s="6"/>
      <c r="Z482" s="6"/>
      <c r="AD482" s="5"/>
      <c r="AE482" s="6"/>
      <c r="AH482" s="6"/>
      <c r="AI482" s="6"/>
      <c r="AM482" s="5"/>
      <c r="AN482" s="6"/>
      <c r="AQ482" s="6"/>
      <c r="AR482" s="6"/>
    </row>
    <row r="483" spans="3:44" ht="13.2" x14ac:dyDescent="0.25">
      <c r="C483" s="5"/>
      <c r="D483" s="6"/>
      <c r="G483" s="6"/>
      <c r="H483" s="6"/>
      <c r="L483" s="5"/>
      <c r="M483" s="6"/>
      <c r="P483" s="6"/>
      <c r="Q483" s="6"/>
      <c r="U483" s="5"/>
      <c r="V483" s="6"/>
      <c r="Y483" s="6"/>
      <c r="Z483" s="6"/>
      <c r="AD483" s="5"/>
      <c r="AE483" s="6"/>
      <c r="AH483" s="6"/>
      <c r="AI483" s="6"/>
      <c r="AM483" s="5"/>
      <c r="AN483" s="6"/>
      <c r="AQ483" s="6"/>
      <c r="AR483" s="6"/>
    </row>
    <row r="484" spans="3:44" ht="13.2" x14ac:dyDescent="0.25">
      <c r="C484" s="5"/>
      <c r="D484" s="6"/>
      <c r="G484" s="6"/>
      <c r="H484" s="6"/>
      <c r="L484" s="5"/>
      <c r="M484" s="6"/>
      <c r="P484" s="6"/>
      <c r="Q484" s="6"/>
      <c r="U484" s="5"/>
      <c r="V484" s="6"/>
      <c r="Y484" s="6"/>
      <c r="Z484" s="6"/>
      <c r="AD484" s="5"/>
      <c r="AE484" s="6"/>
      <c r="AH484" s="6"/>
      <c r="AI484" s="6"/>
      <c r="AM484" s="5"/>
      <c r="AN484" s="6"/>
      <c r="AQ484" s="6"/>
      <c r="AR484" s="6"/>
    </row>
    <row r="485" spans="3:44" ht="13.2" x14ac:dyDescent="0.25">
      <c r="C485" s="5"/>
      <c r="D485" s="6"/>
      <c r="G485" s="6"/>
      <c r="H485" s="6"/>
      <c r="L485" s="5"/>
      <c r="M485" s="6"/>
      <c r="P485" s="6"/>
      <c r="Q485" s="6"/>
      <c r="U485" s="5"/>
      <c r="V485" s="6"/>
      <c r="Y485" s="6"/>
      <c r="Z485" s="6"/>
      <c r="AD485" s="5"/>
      <c r="AE485" s="6"/>
      <c r="AH485" s="6"/>
      <c r="AI485" s="6"/>
      <c r="AM485" s="5"/>
      <c r="AN485" s="6"/>
      <c r="AQ485" s="6"/>
      <c r="AR485" s="6"/>
    </row>
    <row r="486" spans="3:44" ht="13.2" x14ac:dyDescent="0.25">
      <c r="C486" s="5"/>
      <c r="D486" s="6"/>
      <c r="G486" s="6"/>
      <c r="H486" s="6"/>
      <c r="L486" s="5"/>
      <c r="M486" s="6"/>
      <c r="P486" s="6"/>
      <c r="Q486" s="6"/>
      <c r="U486" s="5"/>
      <c r="V486" s="6"/>
      <c r="Y486" s="6"/>
      <c r="Z486" s="6"/>
      <c r="AD486" s="5"/>
      <c r="AE486" s="6"/>
      <c r="AH486" s="6"/>
      <c r="AI486" s="6"/>
      <c r="AM486" s="5"/>
      <c r="AN486" s="6"/>
      <c r="AQ486" s="6"/>
      <c r="AR486" s="6"/>
    </row>
    <row r="487" spans="3:44" ht="13.2" x14ac:dyDescent="0.25">
      <c r="C487" s="5"/>
      <c r="D487" s="6"/>
      <c r="G487" s="6"/>
      <c r="H487" s="6"/>
      <c r="L487" s="5"/>
      <c r="M487" s="6"/>
      <c r="P487" s="6"/>
      <c r="Q487" s="6"/>
      <c r="U487" s="5"/>
      <c r="V487" s="6"/>
      <c r="Y487" s="6"/>
      <c r="Z487" s="6"/>
      <c r="AD487" s="5"/>
      <c r="AE487" s="6"/>
      <c r="AH487" s="6"/>
      <c r="AI487" s="6"/>
      <c r="AM487" s="5"/>
      <c r="AN487" s="6"/>
      <c r="AQ487" s="6"/>
      <c r="AR487" s="6"/>
    </row>
    <row r="488" spans="3:44" ht="13.2" x14ac:dyDescent="0.25">
      <c r="C488" s="5"/>
      <c r="D488" s="6"/>
      <c r="G488" s="6"/>
      <c r="H488" s="6"/>
      <c r="L488" s="5"/>
      <c r="M488" s="6"/>
      <c r="P488" s="6"/>
      <c r="Q488" s="6"/>
      <c r="U488" s="5"/>
      <c r="V488" s="6"/>
      <c r="Y488" s="6"/>
      <c r="Z488" s="6"/>
      <c r="AD488" s="5"/>
      <c r="AE488" s="6"/>
      <c r="AH488" s="6"/>
      <c r="AI488" s="6"/>
      <c r="AM488" s="5"/>
      <c r="AN488" s="6"/>
      <c r="AQ488" s="6"/>
      <c r="AR488" s="6"/>
    </row>
    <row r="489" spans="3:44" ht="13.2" x14ac:dyDescent="0.25">
      <c r="C489" s="5"/>
      <c r="D489" s="6"/>
      <c r="G489" s="6"/>
      <c r="H489" s="6"/>
      <c r="L489" s="5"/>
      <c r="M489" s="6"/>
      <c r="P489" s="6"/>
      <c r="Q489" s="6"/>
      <c r="U489" s="5"/>
      <c r="V489" s="6"/>
      <c r="Y489" s="6"/>
      <c r="Z489" s="6"/>
      <c r="AD489" s="5"/>
      <c r="AE489" s="6"/>
      <c r="AH489" s="6"/>
      <c r="AI489" s="6"/>
      <c r="AM489" s="5"/>
      <c r="AN489" s="6"/>
      <c r="AQ489" s="6"/>
      <c r="AR489" s="6"/>
    </row>
    <row r="490" spans="3:44" ht="13.2" x14ac:dyDescent="0.25">
      <c r="C490" s="5"/>
      <c r="D490" s="6"/>
      <c r="G490" s="6"/>
      <c r="H490" s="6"/>
      <c r="L490" s="5"/>
      <c r="M490" s="6"/>
      <c r="P490" s="6"/>
      <c r="Q490" s="6"/>
      <c r="U490" s="5"/>
      <c r="V490" s="6"/>
      <c r="Y490" s="6"/>
      <c r="Z490" s="6"/>
      <c r="AD490" s="5"/>
      <c r="AE490" s="6"/>
      <c r="AH490" s="6"/>
      <c r="AI490" s="6"/>
      <c r="AM490" s="5"/>
      <c r="AN490" s="6"/>
      <c r="AQ490" s="6"/>
      <c r="AR490" s="6"/>
    </row>
    <row r="491" spans="3:44" ht="13.2" x14ac:dyDescent="0.25">
      <c r="C491" s="5"/>
      <c r="D491" s="6"/>
      <c r="G491" s="6"/>
      <c r="H491" s="6"/>
      <c r="L491" s="5"/>
      <c r="M491" s="6"/>
      <c r="P491" s="6"/>
      <c r="Q491" s="6"/>
      <c r="U491" s="5"/>
      <c r="V491" s="6"/>
      <c r="Y491" s="6"/>
      <c r="Z491" s="6"/>
      <c r="AD491" s="5"/>
      <c r="AE491" s="6"/>
      <c r="AH491" s="6"/>
      <c r="AI491" s="6"/>
      <c r="AM491" s="5"/>
      <c r="AN491" s="6"/>
      <c r="AQ491" s="6"/>
      <c r="AR491" s="6"/>
    </row>
    <row r="492" spans="3:44" ht="13.2" x14ac:dyDescent="0.25">
      <c r="C492" s="5"/>
      <c r="D492" s="6"/>
      <c r="G492" s="6"/>
      <c r="H492" s="6"/>
      <c r="L492" s="5"/>
      <c r="M492" s="6"/>
      <c r="P492" s="6"/>
      <c r="Q492" s="6"/>
      <c r="U492" s="5"/>
      <c r="V492" s="6"/>
      <c r="Y492" s="6"/>
      <c r="Z492" s="6"/>
      <c r="AD492" s="5"/>
      <c r="AE492" s="6"/>
      <c r="AH492" s="6"/>
      <c r="AI492" s="6"/>
      <c r="AM492" s="5"/>
      <c r="AN492" s="6"/>
      <c r="AQ492" s="6"/>
      <c r="AR492" s="6"/>
    </row>
    <row r="493" spans="3:44" ht="13.2" x14ac:dyDescent="0.25">
      <c r="C493" s="5"/>
      <c r="D493" s="6"/>
      <c r="G493" s="6"/>
      <c r="H493" s="6"/>
      <c r="L493" s="5"/>
      <c r="M493" s="6"/>
      <c r="P493" s="6"/>
      <c r="Q493" s="6"/>
      <c r="U493" s="5"/>
      <c r="V493" s="6"/>
      <c r="Y493" s="6"/>
      <c r="Z493" s="6"/>
      <c r="AD493" s="5"/>
      <c r="AE493" s="6"/>
      <c r="AH493" s="6"/>
      <c r="AI493" s="6"/>
      <c r="AM493" s="5"/>
      <c r="AN493" s="6"/>
      <c r="AQ493" s="6"/>
      <c r="AR493" s="6"/>
    </row>
    <row r="494" spans="3:44" ht="13.2" x14ac:dyDescent="0.25">
      <c r="C494" s="5"/>
      <c r="D494" s="6"/>
      <c r="G494" s="6"/>
      <c r="H494" s="6"/>
      <c r="L494" s="5"/>
      <c r="M494" s="6"/>
      <c r="P494" s="6"/>
      <c r="Q494" s="6"/>
      <c r="U494" s="5"/>
      <c r="V494" s="6"/>
      <c r="Y494" s="6"/>
      <c r="Z494" s="6"/>
      <c r="AD494" s="5"/>
      <c r="AE494" s="6"/>
      <c r="AH494" s="6"/>
      <c r="AI494" s="6"/>
      <c r="AM494" s="5"/>
      <c r="AN494" s="6"/>
      <c r="AQ494" s="6"/>
      <c r="AR494" s="6"/>
    </row>
    <row r="495" spans="3:44" ht="13.2" x14ac:dyDescent="0.25">
      <c r="C495" s="5"/>
      <c r="D495" s="6"/>
      <c r="G495" s="6"/>
      <c r="H495" s="6"/>
      <c r="L495" s="5"/>
      <c r="M495" s="6"/>
      <c r="P495" s="6"/>
      <c r="Q495" s="6"/>
      <c r="U495" s="5"/>
      <c r="V495" s="6"/>
      <c r="Y495" s="6"/>
      <c r="Z495" s="6"/>
      <c r="AD495" s="5"/>
      <c r="AE495" s="6"/>
      <c r="AH495" s="6"/>
      <c r="AI495" s="6"/>
      <c r="AM495" s="5"/>
      <c r="AN495" s="6"/>
      <c r="AQ495" s="6"/>
      <c r="AR495" s="6"/>
    </row>
    <row r="496" spans="3:44" ht="13.2" x14ac:dyDescent="0.25">
      <c r="C496" s="5"/>
      <c r="D496" s="6"/>
      <c r="G496" s="6"/>
      <c r="H496" s="6"/>
      <c r="L496" s="5"/>
      <c r="M496" s="6"/>
      <c r="P496" s="6"/>
      <c r="Q496" s="6"/>
      <c r="U496" s="5"/>
      <c r="V496" s="6"/>
      <c r="Y496" s="6"/>
      <c r="Z496" s="6"/>
      <c r="AD496" s="5"/>
      <c r="AE496" s="6"/>
      <c r="AH496" s="6"/>
      <c r="AI496" s="6"/>
      <c r="AM496" s="5"/>
      <c r="AN496" s="6"/>
      <c r="AQ496" s="6"/>
      <c r="AR496" s="6"/>
    </row>
    <row r="497" spans="3:44" ht="13.2" x14ac:dyDescent="0.25">
      <c r="C497" s="5"/>
      <c r="D497" s="6"/>
      <c r="G497" s="6"/>
      <c r="H497" s="6"/>
      <c r="L497" s="5"/>
      <c r="M497" s="6"/>
      <c r="P497" s="6"/>
      <c r="Q497" s="6"/>
      <c r="U497" s="5"/>
      <c r="V497" s="6"/>
      <c r="Y497" s="6"/>
      <c r="Z497" s="6"/>
      <c r="AD497" s="5"/>
      <c r="AE497" s="6"/>
      <c r="AH497" s="6"/>
      <c r="AI497" s="6"/>
      <c r="AM497" s="5"/>
      <c r="AN497" s="6"/>
      <c r="AQ497" s="6"/>
      <c r="AR497" s="6"/>
    </row>
    <row r="498" spans="3:44" ht="13.2" x14ac:dyDescent="0.25">
      <c r="C498" s="5"/>
      <c r="D498" s="6"/>
      <c r="G498" s="6"/>
      <c r="H498" s="6"/>
      <c r="L498" s="5"/>
      <c r="M498" s="6"/>
      <c r="P498" s="6"/>
      <c r="Q498" s="6"/>
      <c r="U498" s="5"/>
      <c r="V498" s="6"/>
      <c r="Y498" s="6"/>
      <c r="Z498" s="6"/>
      <c r="AD498" s="5"/>
      <c r="AE498" s="6"/>
      <c r="AH498" s="6"/>
      <c r="AI498" s="6"/>
      <c r="AM498" s="5"/>
      <c r="AN498" s="6"/>
      <c r="AQ498" s="6"/>
      <c r="AR498" s="6"/>
    </row>
    <row r="499" spans="3:44" ht="13.2" x14ac:dyDescent="0.25">
      <c r="C499" s="5"/>
      <c r="D499" s="6"/>
      <c r="G499" s="6"/>
      <c r="H499" s="6"/>
      <c r="L499" s="5"/>
      <c r="M499" s="6"/>
      <c r="P499" s="6"/>
      <c r="Q499" s="6"/>
      <c r="U499" s="5"/>
      <c r="V499" s="6"/>
      <c r="Y499" s="6"/>
      <c r="Z499" s="6"/>
      <c r="AD499" s="5"/>
      <c r="AE499" s="6"/>
      <c r="AH499" s="6"/>
      <c r="AI499" s="6"/>
      <c r="AM499" s="5"/>
      <c r="AN499" s="6"/>
      <c r="AQ499" s="6"/>
      <c r="AR499" s="6"/>
    </row>
    <row r="500" spans="3:44" ht="13.2" x14ac:dyDescent="0.25">
      <c r="C500" s="5"/>
      <c r="D500" s="6"/>
      <c r="G500" s="6"/>
      <c r="H500" s="6"/>
      <c r="L500" s="5"/>
      <c r="M500" s="6"/>
      <c r="P500" s="6"/>
      <c r="Q500" s="6"/>
      <c r="U500" s="5"/>
      <c r="V500" s="6"/>
      <c r="Y500" s="6"/>
      <c r="Z500" s="6"/>
      <c r="AD500" s="5"/>
      <c r="AE500" s="6"/>
      <c r="AH500" s="6"/>
      <c r="AI500" s="6"/>
      <c r="AM500" s="5"/>
      <c r="AN500" s="6"/>
      <c r="AQ500" s="6"/>
      <c r="AR500" s="6"/>
    </row>
    <row r="501" spans="3:44" ht="13.2" x14ac:dyDescent="0.25">
      <c r="C501" s="5"/>
      <c r="D501" s="6"/>
      <c r="G501" s="6"/>
      <c r="H501" s="6"/>
      <c r="L501" s="5"/>
      <c r="M501" s="6"/>
      <c r="P501" s="6"/>
      <c r="Q501" s="6"/>
      <c r="U501" s="5"/>
      <c r="V501" s="6"/>
      <c r="Y501" s="6"/>
      <c r="Z501" s="6"/>
      <c r="AD501" s="5"/>
      <c r="AE501" s="6"/>
      <c r="AH501" s="6"/>
      <c r="AI501" s="6"/>
      <c r="AM501" s="5"/>
      <c r="AN501" s="6"/>
      <c r="AQ501" s="6"/>
      <c r="AR501" s="6"/>
    </row>
    <row r="502" spans="3:44" ht="13.2" x14ac:dyDescent="0.25">
      <c r="C502" s="5"/>
      <c r="D502" s="6"/>
      <c r="G502" s="6"/>
      <c r="H502" s="6"/>
      <c r="L502" s="5"/>
      <c r="M502" s="6"/>
      <c r="P502" s="6"/>
      <c r="Q502" s="6"/>
      <c r="U502" s="5"/>
      <c r="V502" s="6"/>
      <c r="Y502" s="6"/>
      <c r="Z502" s="6"/>
      <c r="AD502" s="5"/>
      <c r="AE502" s="6"/>
      <c r="AH502" s="6"/>
      <c r="AI502" s="6"/>
      <c r="AM502" s="5"/>
      <c r="AN502" s="6"/>
      <c r="AQ502" s="6"/>
      <c r="AR502" s="6"/>
    </row>
    <row r="503" spans="3:44" ht="13.2" x14ac:dyDescent="0.25">
      <c r="C503" s="5"/>
      <c r="D503" s="6"/>
      <c r="G503" s="6"/>
      <c r="H503" s="6"/>
      <c r="L503" s="5"/>
      <c r="M503" s="6"/>
      <c r="P503" s="6"/>
      <c r="Q503" s="6"/>
      <c r="U503" s="5"/>
      <c r="V503" s="6"/>
      <c r="Y503" s="6"/>
      <c r="Z503" s="6"/>
      <c r="AD503" s="5"/>
      <c r="AE503" s="6"/>
      <c r="AH503" s="6"/>
      <c r="AI503" s="6"/>
      <c r="AM503" s="5"/>
      <c r="AN503" s="6"/>
      <c r="AQ503" s="6"/>
      <c r="AR503" s="6"/>
    </row>
    <row r="504" spans="3:44" ht="13.2" x14ac:dyDescent="0.25">
      <c r="C504" s="5"/>
      <c r="D504" s="6"/>
      <c r="G504" s="6"/>
      <c r="H504" s="6"/>
      <c r="L504" s="5"/>
      <c r="M504" s="6"/>
      <c r="P504" s="6"/>
      <c r="Q504" s="6"/>
      <c r="U504" s="5"/>
      <c r="V504" s="6"/>
      <c r="Y504" s="6"/>
      <c r="Z504" s="6"/>
      <c r="AD504" s="5"/>
      <c r="AE504" s="6"/>
      <c r="AH504" s="6"/>
      <c r="AI504" s="6"/>
      <c r="AM504" s="5"/>
      <c r="AN504" s="6"/>
      <c r="AQ504" s="6"/>
      <c r="AR504" s="6"/>
    </row>
    <row r="505" spans="3:44" ht="13.2" x14ac:dyDescent="0.25">
      <c r="C505" s="5"/>
      <c r="D505" s="6"/>
      <c r="G505" s="6"/>
      <c r="H505" s="6"/>
      <c r="L505" s="5"/>
      <c r="M505" s="6"/>
      <c r="P505" s="6"/>
      <c r="Q505" s="6"/>
      <c r="U505" s="5"/>
      <c r="V505" s="6"/>
      <c r="Y505" s="6"/>
      <c r="Z505" s="6"/>
      <c r="AD505" s="5"/>
      <c r="AE505" s="6"/>
      <c r="AH505" s="6"/>
      <c r="AI505" s="6"/>
      <c r="AM505" s="5"/>
      <c r="AN505" s="6"/>
      <c r="AQ505" s="6"/>
      <c r="AR505" s="6"/>
    </row>
    <row r="506" spans="3:44" ht="13.2" x14ac:dyDescent="0.25">
      <c r="C506" s="5"/>
      <c r="D506" s="6"/>
      <c r="G506" s="6"/>
      <c r="H506" s="6"/>
      <c r="L506" s="5"/>
      <c r="M506" s="6"/>
      <c r="P506" s="6"/>
      <c r="Q506" s="6"/>
      <c r="U506" s="5"/>
      <c r="V506" s="6"/>
      <c r="Y506" s="6"/>
      <c r="Z506" s="6"/>
      <c r="AD506" s="5"/>
      <c r="AE506" s="6"/>
      <c r="AH506" s="6"/>
      <c r="AI506" s="6"/>
      <c r="AM506" s="5"/>
      <c r="AN506" s="6"/>
      <c r="AQ506" s="6"/>
      <c r="AR506" s="6"/>
    </row>
    <row r="507" spans="3:44" ht="13.2" x14ac:dyDescent="0.25">
      <c r="C507" s="5"/>
      <c r="D507" s="6"/>
      <c r="G507" s="6"/>
      <c r="H507" s="6"/>
      <c r="L507" s="5"/>
      <c r="M507" s="6"/>
      <c r="P507" s="6"/>
      <c r="Q507" s="6"/>
      <c r="U507" s="5"/>
      <c r="V507" s="6"/>
      <c r="Y507" s="6"/>
      <c r="Z507" s="6"/>
      <c r="AD507" s="5"/>
      <c r="AE507" s="6"/>
      <c r="AH507" s="6"/>
      <c r="AI507" s="6"/>
      <c r="AM507" s="5"/>
      <c r="AN507" s="6"/>
      <c r="AQ507" s="6"/>
      <c r="AR507" s="6"/>
    </row>
    <row r="508" spans="3:44" ht="13.2" x14ac:dyDescent="0.25">
      <c r="C508" s="5"/>
      <c r="D508" s="6"/>
      <c r="G508" s="6"/>
      <c r="H508" s="6"/>
      <c r="L508" s="5"/>
      <c r="M508" s="6"/>
      <c r="P508" s="6"/>
      <c r="Q508" s="6"/>
      <c r="U508" s="5"/>
      <c r="V508" s="6"/>
      <c r="Y508" s="6"/>
      <c r="Z508" s="6"/>
      <c r="AD508" s="5"/>
      <c r="AE508" s="6"/>
      <c r="AH508" s="6"/>
      <c r="AI508" s="6"/>
      <c r="AM508" s="5"/>
      <c r="AN508" s="6"/>
      <c r="AQ508" s="6"/>
      <c r="AR508" s="6"/>
    </row>
    <row r="509" spans="3:44" ht="13.2" x14ac:dyDescent="0.25">
      <c r="C509" s="5"/>
      <c r="D509" s="6"/>
      <c r="G509" s="6"/>
      <c r="H509" s="6"/>
      <c r="L509" s="5"/>
      <c r="M509" s="6"/>
      <c r="P509" s="6"/>
      <c r="Q509" s="6"/>
      <c r="U509" s="5"/>
      <c r="V509" s="6"/>
      <c r="Y509" s="6"/>
      <c r="Z509" s="6"/>
      <c r="AD509" s="5"/>
      <c r="AE509" s="6"/>
      <c r="AH509" s="6"/>
      <c r="AI509" s="6"/>
      <c r="AM509" s="5"/>
      <c r="AN509" s="6"/>
      <c r="AQ509" s="6"/>
      <c r="AR509" s="6"/>
    </row>
    <row r="510" spans="3:44" ht="13.2" x14ac:dyDescent="0.25">
      <c r="C510" s="5"/>
      <c r="D510" s="6"/>
      <c r="G510" s="6"/>
      <c r="H510" s="6"/>
      <c r="L510" s="5"/>
      <c r="M510" s="6"/>
      <c r="P510" s="6"/>
      <c r="Q510" s="6"/>
      <c r="U510" s="5"/>
      <c r="V510" s="6"/>
      <c r="Y510" s="6"/>
      <c r="Z510" s="6"/>
      <c r="AD510" s="5"/>
      <c r="AE510" s="6"/>
      <c r="AH510" s="6"/>
      <c r="AI510" s="6"/>
      <c r="AM510" s="5"/>
      <c r="AN510" s="6"/>
      <c r="AQ510" s="6"/>
      <c r="AR510" s="6"/>
    </row>
    <row r="511" spans="3:44" ht="13.2" x14ac:dyDescent="0.25">
      <c r="C511" s="5"/>
      <c r="D511" s="6"/>
      <c r="G511" s="6"/>
      <c r="H511" s="6"/>
      <c r="L511" s="5"/>
      <c r="M511" s="6"/>
      <c r="P511" s="6"/>
      <c r="Q511" s="6"/>
      <c r="U511" s="5"/>
      <c r="V511" s="6"/>
      <c r="Y511" s="6"/>
      <c r="Z511" s="6"/>
      <c r="AD511" s="5"/>
      <c r="AE511" s="6"/>
      <c r="AH511" s="6"/>
      <c r="AI511" s="6"/>
      <c r="AM511" s="5"/>
      <c r="AN511" s="6"/>
      <c r="AQ511" s="6"/>
      <c r="AR511" s="6"/>
    </row>
    <row r="512" spans="3:44" ht="13.2" x14ac:dyDescent="0.25">
      <c r="C512" s="5"/>
      <c r="D512" s="6"/>
      <c r="G512" s="6"/>
      <c r="H512" s="6"/>
      <c r="L512" s="5"/>
      <c r="M512" s="6"/>
      <c r="P512" s="6"/>
      <c r="Q512" s="6"/>
      <c r="U512" s="5"/>
      <c r="V512" s="6"/>
      <c r="Y512" s="6"/>
      <c r="Z512" s="6"/>
      <c r="AD512" s="5"/>
      <c r="AE512" s="6"/>
      <c r="AH512" s="6"/>
      <c r="AI512" s="6"/>
      <c r="AM512" s="5"/>
      <c r="AN512" s="6"/>
      <c r="AQ512" s="6"/>
      <c r="AR512" s="6"/>
    </row>
    <row r="513" spans="3:44" ht="13.2" x14ac:dyDescent="0.25">
      <c r="C513" s="5"/>
      <c r="D513" s="6"/>
      <c r="G513" s="6"/>
      <c r="H513" s="6"/>
      <c r="L513" s="5"/>
      <c r="M513" s="6"/>
      <c r="P513" s="6"/>
      <c r="Q513" s="6"/>
      <c r="U513" s="5"/>
      <c r="V513" s="6"/>
      <c r="Y513" s="6"/>
      <c r="Z513" s="6"/>
      <c r="AD513" s="5"/>
      <c r="AE513" s="6"/>
      <c r="AH513" s="6"/>
      <c r="AI513" s="6"/>
      <c r="AM513" s="5"/>
      <c r="AN513" s="6"/>
      <c r="AQ513" s="6"/>
      <c r="AR513" s="6"/>
    </row>
    <row r="514" spans="3:44" ht="13.2" x14ac:dyDescent="0.25">
      <c r="C514" s="5"/>
      <c r="D514" s="6"/>
      <c r="G514" s="6"/>
      <c r="H514" s="6"/>
      <c r="L514" s="5"/>
      <c r="M514" s="6"/>
      <c r="P514" s="6"/>
      <c r="Q514" s="6"/>
      <c r="U514" s="5"/>
      <c r="V514" s="6"/>
      <c r="Y514" s="6"/>
      <c r="Z514" s="6"/>
      <c r="AD514" s="5"/>
      <c r="AE514" s="6"/>
      <c r="AH514" s="6"/>
      <c r="AI514" s="6"/>
      <c r="AM514" s="5"/>
      <c r="AN514" s="6"/>
      <c r="AQ514" s="6"/>
      <c r="AR514" s="6"/>
    </row>
    <row r="515" spans="3:44" ht="13.2" x14ac:dyDescent="0.25">
      <c r="C515" s="5"/>
      <c r="D515" s="6"/>
      <c r="G515" s="6"/>
      <c r="H515" s="6"/>
      <c r="L515" s="5"/>
      <c r="M515" s="6"/>
      <c r="P515" s="6"/>
      <c r="Q515" s="6"/>
      <c r="U515" s="5"/>
      <c r="V515" s="6"/>
      <c r="Y515" s="6"/>
      <c r="Z515" s="6"/>
      <c r="AD515" s="5"/>
      <c r="AE515" s="6"/>
      <c r="AH515" s="6"/>
      <c r="AI515" s="6"/>
      <c r="AM515" s="5"/>
      <c r="AN515" s="6"/>
      <c r="AQ515" s="6"/>
      <c r="AR515" s="6"/>
    </row>
    <row r="516" spans="3:44" ht="13.2" x14ac:dyDescent="0.25">
      <c r="C516" s="5"/>
      <c r="D516" s="6"/>
      <c r="G516" s="6"/>
      <c r="H516" s="6"/>
      <c r="L516" s="5"/>
      <c r="M516" s="6"/>
      <c r="P516" s="6"/>
      <c r="Q516" s="6"/>
      <c r="U516" s="5"/>
      <c r="V516" s="6"/>
      <c r="Y516" s="6"/>
      <c r="Z516" s="6"/>
      <c r="AD516" s="5"/>
      <c r="AE516" s="6"/>
      <c r="AH516" s="6"/>
      <c r="AI516" s="6"/>
      <c r="AM516" s="5"/>
      <c r="AN516" s="6"/>
      <c r="AQ516" s="6"/>
      <c r="AR516" s="6"/>
    </row>
    <row r="517" spans="3:44" ht="13.2" x14ac:dyDescent="0.25">
      <c r="C517" s="5"/>
      <c r="D517" s="6"/>
      <c r="G517" s="6"/>
      <c r="H517" s="6"/>
      <c r="L517" s="5"/>
      <c r="M517" s="6"/>
      <c r="P517" s="6"/>
      <c r="Q517" s="6"/>
      <c r="U517" s="5"/>
      <c r="V517" s="6"/>
      <c r="Y517" s="6"/>
      <c r="Z517" s="6"/>
      <c r="AD517" s="5"/>
      <c r="AE517" s="6"/>
      <c r="AH517" s="6"/>
      <c r="AI517" s="6"/>
      <c r="AM517" s="5"/>
      <c r="AN517" s="6"/>
      <c r="AQ517" s="6"/>
      <c r="AR517" s="6"/>
    </row>
    <row r="518" spans="3:44" ht="13.2" x14ac:dyDescent="0.25">
      <c r="C518" s="5"/>
      <c r="D518" s="6"/>
      <c r="G518" s="6"/>
      <c r="H518" s="6"/>
      <c r="L518" s="5"/>
      <c r="M518" s="6"/>
      <c r="P518" s="6"/>
      <c r="Q518" s="6"/>
      <c r="U518" s="5"/>
      <c r="V518" s="6"/>
      <c r="Y518" s="6"/>
      <c r="Z518" s="6"/>
      <c r="AD518" s="5"/>
      <c r="AE518" s="6"/>
      <c r="AH518" s="6"/>
      <c r="AI518" s="6"/>
      <c r="AM518" s="5"/>
      <c r="AN518" s="6"/>
      <c r="AQ518" s="6"/>
      <c r="AR518" s="6"/>
    </row>
    <row r="519" spans="3:44" ht="13.2" x14ac:dyDescent="0.25">
      <c r="C519" s="5"/>
      <c r="D519" s="6"/>
      <c r="G519" s="6"/>
      <c r="H519" s="6"/>
      <c r="L519" s="5"/>
      <c r="M519" s="6"/>
      <c r="P519" s="6"/>
      <c r="Q519" s="6"/>
      <c r="U519" s="5"/>
      <c r="V519" s="6"/>
      <c r="Y519" s="6"/>
      <c r="Z519" s="6"/>
      <c r="AD519" s="5"/>
      <c r="AE519" s="6"/>
      <c r="AH519" s="6"/>
      <c r="AI519" s="6"/>
      <c r="AM519" s="5"/>
      <c r="AN519" s="6"/>
      <c r="AQ519" s="6"/>
      <c r="AR519" s="6"/>
    </row>
    <row r="520" spans="3:44" ht="13.2" x14ac:dyDescent="0.25">
      <c r="C520" s="5"/>
      <c r="D520" s="6"/>
      <c r="G520" s="6"/>
      <c r="H520" s="6"/>
      <c r="L520" s="5"/>
      <c r="M520" s="6"/>
      <c r="P520" s="6"/>
      <c r="Q520" s="6"/>
      <c r="U520" s="5"/>
      <c r="V520" s="6"/>
      <c r="Y520" s="6"/>
      <c r="Z520" s="6"/>
      <c r="AD520" s="5"/>
      <c r="AE520" s="6"/>
      <c r="AH520" s="6"/>
      <c r="AI520" s="6"/>
      <c r="AM520" s="5"/>
      <c r="AN520" s="6"/>
      <c r="AQ520" s="6"/>
      <c r="AR520" s="6"/>
    </row>
    <row r="521" spans="3:44" ht="13.2" x14ac:dyDescent="0.25">
      <c r="C521" s="5"/>
      <c r="D521" s="6"/>
      <c r="G521" s="6"/>
      <c r="H521" s="6"/>
      <c r="L521" s="5"/>
      <c r="M521" s="6"/>
      <c r="P521" s="6"/>
      <c r="Q521" s="6"/>
      <c r="U521" s="5"/>
      <c r="V521" s="6"/>
      <c r="Y521" s="6"/>
      <c r="Z521" s="6"/>
      <c r="AD521" s="5"/>
      <c r="AE521" s="6"/>
      <c r="AH521" s="6"/>
      <c r="AI521" s="6"/>
      <c r="AM521" s="5"/>
      <c r="AN521" s="6"/>
      <c r="AQ521" s="6"/>
      <c r="AR521" s="6"/>
    </row>
    <row r="522" spans="3:44" ht="13.2" x14ac:dyDescent="0.25">
      <c r="C522" s="5"/>
      <c r="D522" s="6"/>
      <c r="G522" s="6"/>
      <c r="H522" s="6"/>
      <c r="L522" s="5"/>
      <c r="M522" s="6"/>
      <c r="P522" s="6"/>
      <c r="Q522" s="6"/>
      <c r="U522" s="5"/>
      <c r="V522" s="6"/>
      <c r="Y522" s="6"/>
      <c r="Z522" s="6"/>
      <c r="AD522" s="5"/>
      <c r="AE522" s="6"/>
      <c r="AH522" s="6"/>
      <c r="AI522" s="6"/>
      <c r="AM522" s="5"/>
      <c r="AN522" s="6"/>
      <c r="AQ522" s="6"/>
      <c r="AR522" s="6"/>
    </row>
    <row r="523" spans="3:44" ht="13.2" x14ac:dyDescent="0.25">
      <c r="C523" s="5"/>
      <c r="D523" s="6"/>
      <c r="G523" s="6"/>
      <c r="H523" s="6"/>
      <c r="L523" s="5"/>
      <c r="M523" s="6"/>
      <c r="P523" s="6"/>
      <c r="Q523" s="6"/>
      <c r="U523" s="5"/>
      <c r="V523" s="6"/>
      <c r="Y523" s="6"/>
      <c r="Z523" s="6"/>
      <c r="AD523" s="5"/>
      <c r="AE523" s="6"/>
      <c r="AH523" s="6"/>
      <c r="AI523" s="6"/>
      <c r="AM523" s="5"/>
      <c r="AN523" s="6"/>
      <c r="AQ523" s="6"/>
      <c r="AR523" s="6"/>
    </row>
    <row r="524" spans="3:44" ht="13.2" x14ac:dyDescent="0.25">
      <c r="C524" s="5"/>
      <c r="D524" s="6"/>
      <c r="G524" s="6"/>
      <c r="H524" s="6"/>
      <c r="L524" s="5"/>
      <c r="M524" s="6"/>
      <c r="P524" s="6"/>
      <c r="Q524" s="6"/>
      <c r="U524" s="5"/>
      <c r="V524" s="6"/>
      <c r="Y524" s="6"/>
      <c r="Z524" s="6"/>
      <c r="AD524" s="5"/>
      <c r="AE524" s="6"/>
      <c r="AH524" s="6"/>
      <c r="AI524" s="6"/>
      <c r="AM524" s="5"/>
      <c r="AN524" s="6"/>
      <c r="AQ524" s="6"/>
      <c r="AR524" s="6"/>
    </row>
    <row r="525" spans="3:44" ht="13.2" x14ac:dyDescent="0.25">
      <c r="C525" s="5"/>
      <c r="D525" s="6"/>
      <c r="G525" s="6"/>
      <c r="H525" s="6"/>
      <c r="L525" s="5"/>
      <c r="M525" s="6"/>
      <c r="P525" s="6"/>
      <c r="Q525" s="6"/>
      <c r="U525" s="5"/>
      <c r="V525" s="6"/>
      <c r="Y525" s="6"/>
      <c r="Z525" s="6"/>
      <c r="AD525" s="5"/>
      <c r="AE525" s="6"/>
      <c r="AH525" s="6"/>
      <c r="AI525" s="6"/>
      <c r="AM525" s="5"/>
      <c r="AN525" s="6"/>
      <c r="AQ525" s="6"/>
      <c r="AR525" s="6"/>
    </row>
    <row r="526" spans="3:44" ht="13.2" x14ac:dyDescent="0.25">
      <c r="C526" s="5"/>
      <c r="D526" s="6"/>
      <c r="G526" s="6"/>
      <c r="H526" s="6"/>
      <c r="L526" s="5"/>
      <c r="M526" s="6"/>
      <c r="P526" s="6"/>
      <c r="Q526" s="6"/>
      <c r="U526" s="5"/>
      <c r="V526" s="6"/>
      <c r="Y526" s="6"/>
      <c r="Z526" s="6"/>
      <c r="AD526" s="5"/>
      <c r="AE526" s="6"/>
      <c r="AH526" s="6"/>
      <c r="AI526" s="6"/>
      <c r="AM526" s="5"/>
      <c r="AN526" s="6"/>
      <c r="AQ526" s="6"/>
      <c r="AR526" s="6"/>
    </row>
    <row r="527" spans="3:44" ht="13.2" x14ac:dyDescent="0.25">
      <c r="C527" s="5"/>
      <c r="D527" s="6"/>
      <c r="G527" s="6"/>
      <c r="H527" s="6"/>
      <c r="L527" s="5"/>
      <c r="M527" s="6"/>
      <c r="P527" s="6"/>
      <c r="Q527" s="6"/>
      <c r="U527" s="5"/>
      <c r="V527" s="6"/>
      <c r="Y527" s="6"/>
      <c r="Z527" s="6"/>
      <c r="AD527" s="5"/>
      <c r="AE527" s="6"/>
      <c r="AH527" s="6"/>
      <c r="AI527" s="6"/>
      <c r="AM527" s="5"/>
      <c r="AN527" s="6"/>
      <c r="AQ527" s="6"/>
      <c r="AR527" s="6"/>
    </row>
    <row r="528" spans="3:44" ht="13.2" x14ac:dyDescent="0.25">
      <c r="C528" s="5"/>
      <c r="D528" s="6"/>
      <c r="G528" s="6"/>
      <c r="H528" s="6"/>
      <c r="L528" s="5"/>
      <c r="M528" s="6"/>
      <c r="P528" s="6"/>
      <c r="Q528" s="6"/>
      <c r="U528" s="5"/>
      <c r="V528" s="6"/>
      <c r="Y528" s="6"/>
      <c r="Z528" s="6"/>
      <c r="AD528" s="5"/>
      <c r="AE528" s="6"/>
      <c r="AH528" s="6"/>
      <c r="AI528" s="6"/>
      <c r="AM528" s="5"/>
      <c r="AN528" s="6"/>
      <c r="AQ528" s="6"/>
      <c r="AR528" s="6"/>
    </row>
    <row r="529" spans="3:44" ht="13.2" x14ac:dyDescent="0.25">
      <c r="C529" s="5"/>
      <c r="D529" s="6"/>
      <c r="G529" s="6"/>
      <c r="H529" s="6"/>
      <c r="L529" s="5"/>
      <c r="M529" s="6"/>
      <c r="P529" s="6"/>
      <c r="Q529" s="6"/>
      <c r="U529" s="5"/>
      <c r="V529" s="6"/>
      <c r="Y529" s="6"/>
      <c r="Z529" s="6"/>
      <c r="AD529" s="5"/>
      <c r="AE529" s="6"/>
      <c r="AH529" s="6"/>
      <c r="AI529" s="6"/>
      <c r="AM529" s="5"/>
      <c r="AN529" s="6"/>
      <c r="AQ529" s="6"/>
      <c r="AR529" s="6"/>
    </row>
    <row r="530" spans="3:44" ht="13.2" x14ac:dyDescent="0.25">
      <c r="C530" s="5"/>
      <c r="D530" s="6"/>
      <c r="G530" s="6"/>
      <c r="H530" s="6"/>
      <c r="L530" s="5"/>
      <c r="M530" s="6"/>
      <c r="P530" s="6"/>
      <c r="Q530" s="6"/>
      <c r="U530" s="5"/>
      <c r="V530" s="6"/>
      <c r="Y530" s="6"/>
      <c r="Z530" s="6"/>
      <c r="AD530" s="5"/>
      <c r="AE530" s="6"/>
      <c r="AH530" s="6"/>
      <c r="AI530" s="6"/>
      <c r="AM530" s="5"/>
      <c r="AN530" s="6"/>
      <c r="AQ530" s="6"/>
      <c r="AR530" s="6"/>
    </row>
    <row r="531" spans="3:44" ht="13.2" x14ac:dyDescent="0.25">
      <c r="C531" s="5"/>
      <c r="D531" s="6"/>
      <c r="G531" s="6"/>
      <c r="H531" s="6"/>
      <c r="L531" s="5"/>
      <c r="M531" s="6"/>
      <c r="P531" s="6"/>
      <c r="Q531" s="6"/>
      <c r="U531" s="5"/>
      <c r="V531" s="6"/>
      <c r="Y531" s="6"/>
      <c r="Z531" s="6"/>
      <c r="AD531" s="5"/>
      <c r="AE531" s="6"/>
      <c r="AH531" s="6"/>
      <c r="AI531" s="6"/>
      <c r="AM531" s="5"/>
      <c r="AN531" s="6"/>
      <c r="AQ531" s="6"/>
      <c r="AR531" s="6"/>
    </row>
    <row r="532" spans="3:44" ht="13.2" x14ac:dyDescent="0.25">
      <c r="C532" s="5"/>
      <c r="D532" s="6"/>
      <c r="G532" s="6"/>
      <c r="H532" s="6"/>
      <c r="L532" s="5"/>
      <c r="M532" s="6"/>
      <c r="P532" s="6"/>
      <c r="Q532" s="6"/>
      <c r="U532" s="5"/>
      <c r="V532" s="6"/>
      <c r="Y532" s="6"/>
      <c r="Z532" s="6"/>
      <c r="AD532" s="5"/>
      <c r="AE532" s="6"/>
      <c r="AH532" s="6"/>
      <c r="AI532" s="6"/>
      <c r="AM532" s="5"/>
      <c r="AN532" s="6"/>
      <c r="AQ532" s="6"/>
      <c r="AR532" s="6"/>
    </row>
    <row r="533" spans="3:44" ht="13.2" x14ac:dyDescent="0.25">
      <c r="C533" s="5"/>
      <c r="D533" s="6"/>
      <c r="G533" s="6"/>
      <c r="H533" s="6"/>
      <c r="L533" s="5"/>
      <c r="M533" s="6"/>
      <c r="P533" s="6"/>
      <c r="Q533" s="6"/>
      <c r="U533" s="5"/>
      <c r="V533" s="6"/>
      <c r="Y533" s="6"/>
      <c r="Z533" s="6"/>
      <c r="AD533" s="5"/>
      <c r="AE533" s="6"/>
      <c r="AH533" s="6"/>
      <c r="AI533" s="6"/>
      <c r="AM533" s="5"/>
      <c r="AN533" s="6"/>
      <c r="AQ533" s="6"/>
      <c r="AR533" s="6"/>
    </row>
    <row r="534" spans="3:44" ht="13.2" x14ac:dyDescent="0.25">
      <c r="C534" s="5"/>
      <c r="D534" s="6"/>
      <c r="G534" s="6"/>
      <c r="H534" s="6"/>
      <c r="L534" s="5"/>
      <c r="M534" s="6"/>
      <c r="P534" s="6"/>
      <c r="Q534" s="6"/>
      <c r="U534" s="5"/>
      <c r="V534" s="6"/>
      <c r="Y534" s="6"/>
      <c r="Z534" s="6"/>
      <c r="AD534" s="5"/>
      <c r="AE534" s="6"/>
      <c r="AH534" s="6"/>
      <c r="AI534" s="6"/>
      <c r="AM534" s="5"/>
      <c r="AN534" s="6"/>
      <c r="AQ534" s="6"/>
      <c r="AR534" s="6"/>
    </row>
    <row r="535" spans="3:44" ht="13.2" x14ac:dyDescent="0.25">
      <c r="C535" s="5"/>
      <c r="D535" s="6"/>
      <c r="G535" s="6"/>
      <c r="H535" s="6"/>
      <c r="L535" s="5"/>
      <c r="M535" s="6"/>
      <c r="P535" s="6"/>
      <c r="Q535" s="6"/>
      <c r="U535" s="5"/>
      <c r="V535" s="6"/>
      <c r="Y535" s="6"/>
      <c r="Z535" s="6"/>
      <c r="AD535" s="5"/>
      <c r="AE535" s="6"/>
      <c r="AH535" s="6"/>
      <c r="AI535" s="6"/>
      <c r="AM535" s="5"/>
      <c r="AN535" s="6"/>
      <c r="AQ535" s="6"/>
      <c r="AR535" s="6"/>
    </row>
    <row r="536" spans="3:44" ht="13.2" x14ac:dyDescent="0.25">
      <c r="C536" s="5"/>
      <c r="D536" s="6"/>
      <c r="G536" s="6"/>
      <c r="H536" s="6"/>
      <c r="L536" s="5"/>
      <c r="M536" s="6"/>
      <c r="P536" s="6"/>
      <c r="Q536" s="6"/>
      <c r="U536" s="5"/>
      <c r="V536" s="6"/>
      <c r="Y536" s="6"/>
      <c r="Z536" s="6"/>
      <c r="AD536" s="5"/>
      <c r="AE536" s="6"/>
      <c r="AH536" s="6"/>
      <c r="AI536" s="6"/>
      <c r="AM536" s="5"/>
      <c r="AN536" s="6"/>
      <c r="AQ536" s="6"/>
      <c r="AR536" s="6"/>
    </row>
    <row r="537" spans="3:44" ht="13.2" x14ac:dyDescent="0.25">
      <c r="C537" s="5"/>
      <c r="D537" s="6"/>
      <c r="G537" s="6"/>
      <c r="H537" s="6"/>
      <c r="L537" s="5"/>
      <c r="M537" s="6"/>
      <c r="P537" s="6"/>
      <c r="Q537" s="6"/>
      <c r="U537" s="5"/>
      <c r="V537" s="6"/>
      <c r="Y537" s="6"/>
      <c r="Z537" s="6"/>
      <c r="AD537" s="5"/>
      <c r="AE537" s="6"/>
      <c r="AH537" s="6"/>
      <c r="AI537" s="6"/>
      <c r="AM537" s="5"/>
      <c r="AN537" s="6"/>
      <c r="AQ537" s="6"/>
      <c r="AR537" s="6"/>
    </row>
    <row r="538" spans="3:44" ht="13.2" x14ac:dyDescent="0.25">
      <c r="C538" s="5"/>
      <c r="D538" s="6"/>
      <c r="G538" s="6"/>
      <c r="H538" s="6"/>
      <c r="L538" s="5"/>
      <c r="M538" s="6"/>
      <c r="P538" s="6"/>
      <c r="Q538" s="6"/>
      <c r="U538" s="5"/>
      <c r="V538" s="6"/>
      <c r="Y538" s="6"/>
      <c r="Z538" s="6"/>
      <c r="AD538" s="5"/>
      <c r="AE538" s="6"/>
      <c r="AH538" s="6"/>
      <c r="AI538" s="6"/>
      <c r="AM538" s="5"/>
      <c r="AN538" s="6"/>
      <c r="AQ538" s="6"/>
      <c r="AR538" s="6"/>
    </row>
    <row r="539" spans="3:44" ht="13.2" x14ac:dyDescent="0.25">
      <c r="C539" s="5"/>
      <c r="D539" s="6"/>
      <c r="G539" s="6"/>
      <c r="H539" s="6"/>
      <c r="L539" s="5"/>
      <c r="M539" s="6"/>
      <c r="P539" s="6"/>
      <c r="Q539" s="6"/>
      <c r="U539" s="5"/>
      <c r="V539" s="6"/>
      <c r="Y539" s="6"/>
      <c r="Z539" s="6"/>
      <c r="AD539" s="5"/>
      <c r="AE539" s="6"/>
      <c r="AH539" s="6"/>
      <c r="AI539" s="6"/>
      <c r="AM539" s="5"/>
      <c r="AN539" s="6"/>
      <c r="AQ539" s="6"/>
      <c r="AR539" s="6"/>
    </row>
    <row r="540" spans="3:44" ht="13.2" x14ac:dyDescent="0.25">
      <c r="C540" s="5"/>
      <c r="D540" s="6"/>
      <c r="G540" s="6"/>
      <c r="H540" s="6"/>
      <c r="L540" s="5"/>
      <c r="M540" s="6"/>
      <c r="P540" s="6"/>
      <c r="Q540" s="6"/>
      <c r="U540" s="5"/>
      <c r="V540" s="6"/>
      <c r="Y540" s="6"/>
      <c r="Z540" s="6"/>
      <c r="AD540" s="5"/>
      <c r="AE540" s="6"/>
      <c r="AH540" s="6"/>
      <c r="AI540" s="6"/>
      <c r="AM540" s="5"/>
      <c r="AN540" s="6"/>
      <c r="AQ540" s="6"/>
      <c r="AR540" s="6"/>
    </row>
    <row r="541" spans="3:44" ht="13.2" x14ac:dyDescent="0.25">
      <c r="C541" s="5"/>
      <c r="D541" s="6"/>
      <c r="G541" s="6"/>
      <c r="H541" s="6"/>
      <c r="L541" s="5"/>
      <c r="M541" s="6"/>
      <c r="P541" s="6"/>
      <c r="Q541" s="6"/>
      <c r="U541" s="5"/>
      <c r="V541" s="6"/>
      <c r="Y541" s="6"/>
      <c r="Z541" s="6"/>
      <c r="AD541" s="5"/>
      <c r="AE541" s="6"/>
      <c r="AH541" s="6"/>
      <c r="AI541" s="6"/>
      <c r="AM541" s="5"/>
      <c r="AN541" s="6"/>
      <c r="AQ541" s="6"/>
      <c r="AR541" s="6"/>
    </row>
    <row r="542" spans="3:44" ht="13.2" x14ac:dyDescent="0.25">
      <c r="C542" s="5"/>
      <c r="D542" s="6"/>
      <c r="G542" s="6"/>
      <c r="H542" s="6"/>
      <c r="L542" s="5"/>
      <c r="M542" s="6"/>
      <c r="P542" s="6"/>
      <c r="Q542" s="6"/>
      <c r="U542" s="5"/>
      <c r="V542" s="6"/>
      <c r="Y542" s="6"/>
      <c r="Z542" s="6"/>
      <c r="AD542" s="5"/>
      <c r="AE542" s="6"/>
      <c r="AH542" s="6"/>
      <c r="AI542" s="6"/>
      <c r="AM542" s="5"/>
      <c r="AN542" s="6"/>
      <c r="AQ542" s="6"/>
      <c r="AR542" s="6"/>
    </row>
    <row r="543" spans="3:44" ht="13.2" x14ac:dyDescent="0.25">
      <c r="C543" s="5"/>
      <c r="D543" s="6"/>
      <c r="G543" s="6"/>
      <c r="H543" s="6"/>
      <c r="L543" s="5"/>
      <c r="M543" s="6"/>
      <c r="P543" s="6"/>
      <c r="Q543" s="6"/>
      <c r="U543" s="5"/>
      <c r="V543" s="6"/>
      <c r="Y543" s="6"/>
      <c r="Z543" s="6"/>
      <c r="AD543" s="5"/>
      <c r="AE543" s="6"/>
      <c r="AH543" s="6"/>
      <c r="AI543" s="6"/>
      <c r="AM543" s="5"/>
      <c r="AN543" s="6"/>
      <c r="AQ543" s="6"/>
      <c r="AR543" s="6"/>
    </row>
    <row r="544" spans="3:44" ht="13.2" x14ac:dyDescent="0.25">
      <c r="C544" s="5"/>
      <c r="D544" s="6"/>
      <c r="G544" s="6"/>
      <c r="H544" s="6"/>
      <c r="L544" s="5"/>
      <c r="M544" s="6"/>
      <c r="P544" s="6"/>
      <c r="Q544" s="6"/>
      <c r="U544" s="5"/>
      <c r="V544" s="6"/>
      <c r="Y544" s="6"/>
      <c r="Z544" s="6"/>
      <c r="AD544" s="5"/>
      <c r="AE544" s="6"/>
      <c r="AH544" s="6"/>
      <c r="AI544" s="6"/>
      <c r="AM544" s="5"/>
      <c r="AN544" s="6"/>
      <c r="AQ544" s="6"/>
      <c r="AR544" s="6"/>
    </row>
    <row r="545" spans="3:44" ht="13.2" x14ac:dyDescent="0.25">
      <c r="C545" s="5"/>
      <c r="D545" s="6"/>
      <c r="G545" s="6"/>
      <c r="H545" s="6"/>
      <c r="L545" s="5"/>
      <c r="M545" s="6"/>
      <c r="P545" s="6"/>
      <c r="Q545" s="6"/>
      <c r="U545" s="5"/>
      <c r="V545" s="6"/>
      <c r="Y545" s="6"/>
      <c r="Z545" s="6"/>
      <c r="AD545" s="5"/>
      <c r="AE545" s="6"/>
      <c r="AH545" s="6"/>
      <c r="AI545" s="6"/>
      <c r="AM545" s="5"/>
      <c r="AN545" s="6"/>
      <c r="AQ545" s="6"/>
      <c r="AR545" s="6"/>
    </row>
    <row r="546" spans="3:44" ht="13.2" x14ac:dyDescent="0.25">
      <c r="C546" s="5"/>
      <c r="D546" s="6"/>
      <c r="G546" s="6"/>
      <c r="H546" s="6"/>
      <c r="L546" s="5"/>
      <c r="M546" s="6"/>
      <c r="P546" s="6"/>
      <c r="Q546" s="6"/>
      <c r="U546" s="5"/>
      <c r="V546" s="6"/>
      <c r="Y546" s="6"/>
      <c r="Z546" s="6"/>
      <c r="AD546" s="5"/>
      <c r="AE546" s="6"/>
      <c r="AH546" s="6"/>
      <c r="AI546" s="6"/>
      <c r="AM546" s="5"/>
      <c r="AN546" s="6"/>
      <c r="AQ546" s="6"/>
      <c r="AR546" s="6"/>
    </row>
    <row r="547" spans="3:44" ht="13.2" x14ac:dyDescent="0.25">
      <c r="C547" s="5"/>
      <c r="D547" s="6"/>
      <c r="G547" s="6"/>
      <c r="H547" s="6"/>
      <c r="L547" s="5"/>
      <c r="M547" s="6"/>
      <c r="P547" s="6"/>
      <c r="Q547" s="6"/>
      <c r="U547" s="5"/>
      <c r="V547" s="6"/>
      <c r="Y547" s="6"/>
      <c r="Z547" s="6"/>
      <c r="AD547" s="5"/>
      <c r="AE547" s="6"/>
      <c r="AH547" s="6"/>
      <c r="AI547" s="6"/>
      <c r="AM547" s="5"/>
      <c r="AN547" s="6"/>
      <c r="AQ547" s="6"/>
      <c r="AR547" s="6"/>
    </row>
    <row r="548" spans="3:44" ht="13.2" x14ac:dyDescent="0.25">
      <c r="C548" s="5"/>
      <c r="D548" s="6"/>
      <c r="G548" s="6"/>
      <c r="H548" s="6"/>
      <c r="L548" s="5"/>
      <c r="M548" s="6"/>
      <c r="P548" s="6"/>
      <c r="Q548" s="6"/>
      <c r="U548" s="5"/>
      <c r="V548" s="6"/>
      <c r="Y548" s="6"/>
      <c r="Z548" s="6"/>
      <c r="AD548" s="5"/>
      <c r="AE548" s="6"/>
      <c r="AH548" s="6"/>
      <c r="AI548" s="6"/>
      <c r="AM548" s="5"/>
      <c r="AN548" s="6"/>
      <c r="AQ548" s="6"/>
      <c r="AR548" s="6"/>
    </row>
    <row r="549" spans="3:44" ht="13.2" x14ac:dyDescent="0.25">
      <c r="C549" s="5"/>
      <c r="D549" s="6"/>
      <c r="G549" s="6"/>
      <c r="H549" s="6"/>
      <c r="L549" s="5"/>
      <c r="M549" s="6"/>
      <c r="P549" s="6"/>
      <c r="Q549" s="6"/>
      <c r="U549" s="5"/>
      <c r="V549" s="6"/>
      <c r="Y549" s="6"/>
      <c r="Z549" s="6"/>
      <c r="AD549" s="5"/>
      <c r="AE549" s="6"/>
      <c r="AH549" s="6"/>
      <c r="AI549" s="6"/>
      <c r="AM549" s="5"/>
      <c r="AN549" s="6"/>
      <c r="AQ549" s="6"/>
      <c r="AR549" s="6"/>
    </row>
    <row r="550" spans="3:44" ht="13.2" x14ac:dyDescent="0.25">
      <c r="C550" s="5"/>
      <c r="D550" s="6"/>
      <c r="G550" s="6"/>
      <c r="H550" s="6"/>
      <c r="L550" s="5"/>
      <c r="M550" s="6"/>
      <c r="P550" s="6"/>
      <c r="Q550" s="6"/>
      <c r="U550" s="5"/>
      <c r="V550" s="6"/>
      <c r="Y550" s="6"/>
      <c r="Z550" s="6"/>
      <c r="AD550" s="5"/>
      <c r="AE550" s="6"/>
      <c r="AH550" s="6"/>
      <c r="AI550" s="6"/>
      <c r="AM550" s="5"/>
      <c r="AN550" s="6"/>
      <c r="AQ550" s="6"/>
      <c r="AR550" s="6"/>
    </row>
    <row r="551" spans="3:44" ht="13.2" x14ac:dyDescent="0.25">
      <c r="C551" s="5"/>
      <c r="D551" s="6"/>
      <c r="G551" s="6"/>
      <c r="H551" s="6"/>
      <c r="L551" s="5"/>
      <c r="M551" s="6"/>
      <c r="P551" s="6"/>
      <c r="Q551" s="6"/>
      <c r="U551" s="5"/>
      <c r="V551" s="6"/>
      <c r="Y551" s="6"/>
      <c r="Z551" s="6"/>
      <c r="AD551" s="5"/>
      <c r="AE551" s="6"/>
      <c r="AH551" s="6"/>
      <c r="AI551" s="6"/>
      <c r="AM551" s="5"/>
      <c r="AN551" s="6"/>
      <c r="AQ551" s="6"/>
      <c r="AR551" s="6"/>
    </row>
    <row r="552" spans="3:44" ht="13.2" x14ac:dyDescent="0.25">
      <c r="C552" s="5"/>
      <c r="D552" s="6"/>
      <c r="G552" s="6"/>
      <c r="H552" s="6"/>
      <c r="L552" s="5"/>
      <c r="M552" s="6"/>
      <c r="P552" s="6"/>
      <c r="Q552" s="6"/>
      <c r="U552" s="5"/>
      <c r="V552" s="6"/>
      <c r="Y552" s="6"/>
      <c r="Z552" s="6"/>
      <c r="AD552" s="5"/>
      <c r="AE552" s="6"/>
      <c r="AH552" s="6"/>
      <c r="AI552" s="6"/>
      <c r="AM552" s="5"/>
      <c r="AN552" s="6"/>
      <c r="AQ552" s="6"/>
      <c r="AR552" s="6"/>
    </row>
    <row r="553" spans="3:44" ht="13.2" x14ac:dyDescent="0.25">
      <c r="C553" s="5"/>
      <c r="D553" s="6"/>
      <c r="G553" s="6"/>
      <c r="H553" s="6"/>
      <c r="L553" s="5"/>
      <c r="M553" s="6"/>
      <c r="P553" s="6"/>
      <c r="Q553" s="6"/>
      <c r="U553" s="5"/>
      <c r="V553" s="6"/>
      <c r="Y553" s="6"/>
      <c r="Z553" s="6"/>
      <c r="AD553" s="5"/>
      <c r="AE553" s="6"/>
      <c r="AH553" s="6"/>
      <c r="AI553" s="6"/>
      <c r="AM553" s="5"/>
      <c r="AN553" s="6"/>
      <c r="AQ553" s="6"/>
      <c r="AR553" s="6"/>
    </row>
    <row r="554" spans="3:44" ht="13.2" x14ac:dyDescent="0.25">
      <c r="C554" s="5"/>
      <c r="D554" s="6"/>
      <c r="G554" s="6"/>
      <c r="H554" s="6"/>
      <c r="L554" s="5"/>
      <c r="M554" s="6"/>
      <c r="P554" s="6"/>
      <c r="Q554" s="6"/>
      <c r="U554" s="5"/>
      <c r="V554" s="6"/>
      <c r="Y554" s="6"/>
      <c r="Z554" s="6"/>
      <c r="AD554" s="5"/>
      <c r="AE554" s="6"/>
      <c r="AH554" s="6"/>
      <c r="AI554" s="6"/>
      <c r="AM554" s="5"/>
      <c r="AN554" s="6"/>
      <c r="AQ554" s="6"/>
      <c r="AR554" s="6"/>
    </row>
    <row r="555" spans="3:44" ht="13.2" x14ac:dyDescent="0.25">
      <c r="C555" s="5"/>
      <c r="D555" s="6"/>
      <c r="G555" s="6"/>
      <c r="H555" s="6"/>
      <c r="L555" s="5"/>
      <c r="M555" s="6"/>
      <c r="P555" s="6"/>
      <c r="Q555" s="6"/>
      <c r="U555" s="5"/>
      <c r="V555" s="6"/>
      <c r="Y555" s="6"/>
      <c r="Z555" s="6"/>
      <c r="AD555" s="5"/>
      <c r="AE555" s="6"/>
      <c r="AH555" s="6"/>
      <c r="AI555" s="6"/>
      <c r="AM555" s="5"/>
      <c r="AN555" s="6"/>
      <c r="AQ555" s="6"/>
      <c r="AR555" s="6"/>
    </row>
    <row r="556" spans="3:44" ht="13.2" x14ac:dyDescent="0.25">
      <c r="C556" s="5"/>
      <c r="D556" s="6"/>
      <c r="G556" s="6"/>
      <c r="H556" s="6"/>
      <c r="L556" s="5"/>
      <c r="M556" s="6"/>
      <c r="P556" s="6"/>
      <c r="Q556" s="6"/>
      <c r="U556" s="5"/>
      <c r="V556" s="6"/>
      <c r="Y556" s="6"/>
      <c r="Z556" s="6"/>
      <c r="AD556" s="5"/>
      <c r="AE556" s="6"/>
      <c r="AH556" s="6"/>
      <c r="AI556" s="6"/>
      <c r="AM556" s="5"/>
      <c r="AN556" s="6"/>
      <c r="AQ556" s="6"/>
      <c r="AR556" s="6"/>
    </row>
    <row r="557" spans="3:44" ht="13.2" x14ac:dyDescent="0.25">
      <c r="C557" s="5"/>
      <c r="D557" s="6"/>
      <c r="G557" s="6"/>
      <c r="H557" s="6"/>
      <c r="L557" s="5"/>
      <c r="M557" s="6"/>
      <c r="P557" s="6"/>
      <c r="Q557" s="6"/>
      <c r="U557" s="5"/>
      <c r="V557" s="6"/>
      <c r="Y557" s="6"/>
      <c r="Z557" s="6"/>
      <c r="AD557" s="5"/>
      <c r="AE557" s="6"/>
      <c r="AH557" s="6"/>
      <c r="AI557" s="6"/>
      <c r="AM557" s="5"/>
      <c r="AN557" s="6"/>
      <c r="AQ557" s="6"/>
      <c r="AR557" s="6"/>
    </row>
    <row r="558" spans="3:44" ht="13.2" x14ac:dyDescent="0.25">
      <c r="C558" s="5"/>
      <c r="D558" s="6"/>
      <c r="G558" s="6"/>
      <c r="H558" s="6"/>
      <c r="L558" s="5"/>
      <c r="M558" s="6"/>
      <c r="P558" s="6"/>
      <c r="Q558" s="6"/>
      <c r="U558" s="5"/>
      <c r="V558" s="6"/>
      <c r="Y558" s="6"/>
      <c r="Z558" s="6"/>
      <c r="AD558" s="5"/>
      <c r="AE558" s="6"/>
      <c r="AH558" s="6"/>
      <c r="AI558" s="6"/>
      <c r="AM558" s="5"/>
      <c r="AN558" s="6"/>
      <c r="AQ558" s="6"/>
      <c r="AR558" s="6"/>
    </row>
    <row r="559" spans="3:44" ht="13.2" x14ac:dyDescent="0.25">
      <c r="C559" s="5"/>
      <c r="D559" s="6"/>
      <c r="G559" s="6"/>
      <c r="H559" s="6"/>
      <c r="L559" s="5"/>
      <c r="M559" s="6"/>
      <c r="P559" s="6"/>
      <c r="Q559" s="6"/>
      <c r="U559" s="5"/>
      <c r="V559" s="6"/>
      <c r="Y559" s="6"/>
      <c r="Z559" s="6"/>
      <c r="AD559" s="5"/>
      <c r="AE559" s="6"/>
      <c r="AH559" s="6"/>
      <c r="AI559" s="6"/>
      <c r="AM559" s="5"/>
      <c r="AN559" s="6"/>
      <c r="AQ559" s="6"/>
      <c r="AR559" s="6"/>
    </row>
    <row r="560" spans="3:44" ht="13.2" x14ac:dyDescent="0.25">
      <c r="C560" s="5"/>
      <c r="D560" s="6"/>
      <c r="G560" s="6"/>
      <c r="H560" s="6"/>
      <c r="L560" s="5"/>
      <c r="M560" s="6"/>
      <c r="P560" s="6"/>
      <c r="Q560" s="6"/>
      <c r="U560" s="5"/>
      <c r="V560" s="6"/>
      <c r="Y560" s="6"/>
      <c r="Z560" s="6"/>
      <c r="AD560" s="5"/>
      <c r="AE560" s="6"/>
      <c r="AH560" s="6"/>
      <c r="AI560" s="6"/>
      <c r="AM560" s="5"/>
      <c r="AN560" s="6"/>
      <c r="AQ560" s="6"/>
      <c r="AR560" s="6"/>
    </row>
    <row r="561" spans="3:44" ht="13.2" x14ac:dyDescent="0.25">
      <c r="C561" s="5"/>
      <c r="D561" s="6"/>
      <c r="G561" s="6"/>
      <c r="H561" s="6"/>
      <c r="L561" s="5"/>
      <c r="M561" s="6"/>
      <c r="P561" s="6"/>
      <c r="Q561" s="6"/>
      <c r="U561" s="5"/>
      <c r="V561" s="6"/>
      <c r="Y561" s="6"/>
      <c r="Z561" s="6"/>
      <c r="AD561" s="5"/>
      <c r="AE561" s="6"/>
      <c r="AH561" s="6"/>
      <c r="AI561" s="6"/>
      <c r="AM561" s="5"/>
      <c r="AN561" s="6"/>
      <c r="AQ561" s="6"/>
      <c r="AR561" s="6"/>
    </row>
    <row r="562" spans="3:44" ht="13.2" x14ac:dyDescent="0.25">
      <c r="C562" s="5"/>
      <c r="D562" s="6"/>
      <c r="G562" s="6"/>
      <c r="H562" s="6"/>
      <c r="L562" s="5"/>
      <c r="M562" s="6"/>
      <c r="P562" s="6"/>
      <c r="Q562" s="6"/>
      <c r="U562" s="5"/>
      <c r="V562" s="6"/>
      <c r="Y562" s="6"/>
      <c r="Z562" s="6"/>
      <c r="AD562" s="5"/>
      <c r="AE562" s="6"/>
      <c r="AH562" s="6"/>
      <c r="AI562" s="6"/>
      <c r="AM562" s="5"/>
      <c r="AN562" s="6"/>
      <c r="AQ562" s="6"/>
      <c r="AR562" s="6"/>
    </row>
    <row r="563" spans="3:44" ht="13.2" x14ac:dyDescent="0.25">
      <c r="C563" s="5"/>
      <c r="D563" s="6"/>
      <c r="G563" s="6"/>
      <c r="H563" s="6"/>
      <c r="L563" s="5"/>
      <c r="M563" s="6"/>
      <c r="P563" s="6"/>
      <c r="Q563" s="6"/>
      <c r="U563" s="5"/>
      <c r="V563" s="6"/>
      <c r="Y563" s="6"/>
      <c r="Z563" s="6"/>
      <c r="AD563" s="5"/>
      <c r="AE563" s="6"/>
      <c r="AH563" s="6"/>
      <c r="AI563" s="6"/>
      <c r="AM563" s="5"/>
      <c r="AN563" s="6"/>
      <c r="AQ563" s="6"/>
      <c r="AR563" s="6"/>
    </row>
    <row r="564" spans="3:44" ht="13.2" x14ac:dyDescent="0.25">
      <c r="C564" s="5"/>
      <c r="D564" s="6"/>
      <c r="G564" s="6"/>
      <c r="H564" s="6"/>
      <c r="L564" s="5"/>
      <c r="M564" s="6"/>
      <c r="P564" s="6"/>
      <c r="Q564" s="6"/>
      <c r="U564" s="5"/>
      <c r="V564" s="6"/>
      <c r="Y564" s="6"/>
      <c r="Z564" s="6"/>
      <c r="AD564" s="5"/>
      <c r="AE564" s="6"/>
      <c r="AH564" s="6"/>
      <c r="AI564" s="6"/>
      <c r="AM564" s="5"/>
      <c r="AN564" s="6"/>
      <c r="AQ564" s="6"/>
      <c r="AR564" s="6"/>
    </row>
    <row r="565" spans="3:44" ht="13.2" x14ac:dyDescent="0.25">
      <c r="C565" s="5"/>
      <c r="D565" s="6"/>
      <c r="G565" s="6"/>
      <c r="H565" s="6"/>
      <c r="L565" s="5"/>
      <c r="M565" s="6"/>
      <c r="P565" s="6"/>
      <c r="Q565" s="6"/>
      <c r="U565" s="5"/>
      <c r="V565" s="6"/>
      <c r="Y565" s="6"/>
      <c r="Z565" s="6"/>
      <c r="AD565" s="5"/>
      <c r="AE565" s="6"/>
      <c r="AH565" s="6"/>
      <c r="AI565" s="6"/>
      <c r="AM565" s="5"/>
      <c r="AN565" s="6"/>
      <c r="AQ565" s="6"/>
      <c r="AR565" s="6"/>
    </row>
    <row r="566" spans="3:44" ht="13.2" x14ac:dyDescent="0.25">
      <c r="C566" s="5"/>
      <c r="D566" s="6"/>
      <c r="G566" s="6"/>
      <c r="H566" s="6"/>
      <c r="L566" s="5"/>
      <c r="M566" s="6"/>
      <c r="P566" s="6"/>
      <c r="Q566" s="6"/>
      <c r="U566" s="5"/>
      <c r="V566" s="6"/>
      <c r="Y566" s="6"/>
      <c r="Z566" s="6"/>
      <c r="AD566" s="5"/>
      <c r="AE566" s="6"/>
      <c r="AH566" s="6"/>
      <c r="AI566" s="6"/>
      <c r="AM566" s="5"/>
      <c r="AN566" s="6"/>
      <c r="AQ566" s="6"/>
      <c r="AR566" s="6"/>
    </row>
    <row r="567" spans="3:44" ht="13.2" x14ac:dyDescent="0.25">
      <c r="C567" s="5"/>
      <c r="D567" s="6"/>
      <c r="G567" s="6"/>
      <c r="H567" s="6"/>
      <c r="L567" s="5"/>
      <c r="M567" s="6"/>
      <c r="P567" s="6"/>
      <c r="Q567" s="6"/>
      <c r="U567" s="5"/>
      <c r="V567" s="6"/>
      <c r="Y567" s="6"/>
      <c r="Z567" s="6"/>
      <c r="AD567" s="5"/>
      <c r="AE567" s="6"/>
      <c r="AH567" s="6"/>
      <c r="AI567" s="6"/>
      <c r="AM567" s="5"/>
      <c r="AN567" s="6"/>
      <c r="AQ567" s="6"/>
      <c r="AR567" s="6"/>
    </row>
    <row r="568" spans="3:44" ht="13.2" x14ac:dyDescent="0.25">
      <c r="C568" s="5"/>
      <c r="D568" s="6"/>
      <c r="G568" s="6"/>
      <c r="H568" s="6"/>
      <c r="L568" s="5"/>
      <c r="M568" s="6"/>
      <c r="P568" s="6"/>
      <c r="Q568" s="6"/>
      <c r="U568" s="5"/>
      <c r="V568" s="6"/>
      <c r="Y568" s="6"/>
      <c r="Z568" s="6"/>
      <c r="AD568" s="5"/>
      <c r="AE568" s="6"/>
      <c r="AH568" s="6"/>
      <c r="AI568" s="6"/>
      <c r="AM568" s="5"/>
      <c r="AN568" s="6"/>
      <c r="AQ568" s="6"/>
      <c r="AR568" s="6"/>
    </row>
    <row r="569" spans="3:44" ht="13.2" x14ac:dyDescent="0.25">
      <c r="C569" s="5"/>
      <c r="D569" s="6"/>
      <c r="G569" s="6"/>
      <c r="H569" s="6"/>
      <c r="L569" s="5"/>
      <c r="M569" s="6"/>
      <c r="P569" s="6"/>
      <c r="Q569" s="6"/>
      <c r="U569" s="5"/>
      <c r="V569" s="6"/>
      <c r="Y569" s="6"/>
      <c r="Z569" s="6"/>
      <c r="AD569" s="5"/>
      <c r="AE569" s="6"/>
      <c r="AH569" s="6"/>
      <c r="AI569" s="6"/>
      <c r="AM569" s="5"/>
      <c r="AN569" s="6"/>
      <c r="AQ569" s="6"/>
      <c r="AR569" s="6"/>
    </row>
    <row r="570" spans="3:44" ht="13.2" x14ac:dyDescent="0.25">
      <c r="C570" s="5"/>
      <c r="D570" s="6"/>
      <c r="G570" s="6"/>
      <c r="H570" s="6"/>
      <c r="L570" s="5"/>
      <c r="M570" s="6"/>
      <c r="P570" s="6"/>
      <c r="Q570" s="6"/>
      <c r="U570" s="5"/>
      <c r="V570" s="6"/>
      <c r="Y570" s="6"/>
      <c r="Z570" s="6"/>
      <c r="AD570" s="5"/>
      <c r="AE570" s="6"/>
      <c r="AH570" s="6"/>
      <c r="AI570" s="6"/>
      <c r="AM570" s="5"/>
      <c r="AN570" s="6"/>
      <c r="AQ570" s="6"/>
      <c r="AR570" s="6"/>
    </row>
    <row r="571" spans="3:44" ht="13.2" x14ac:dyDescent="0.25">
      <c r="C571" s="5"/>
      <c r="D571" s="6"/>
      <c r="G571" s="6"/>
      <c r="H571" s="6"/>
      <c r="L571" s="5"/>
      <c r="M571" s="6"/>
      <c r="P571" s="6"/>
      <c r="Q571" s="6"/>
      <c r="U571" s="5"/>
      <c r="V571" s="6"/>
      <c r="Y571" s="6"/>
      <c r="Z571" s="6"/>
      <c r="AD571" s="5"/>
      <c r="AE571" s="6"/>
      <c r="AH571" s="6"/>
      <c r="AI571" s="6"/>
      <c r="AM571" s="5"/>
      <c r="AN571" s="6"/>
      <c r="AQ571" s="6"/>
      <c r="AR571" s="6"/>
    </row>
    <row r="572" spans="3:44" ht="13.2" x14ac:dyDescent="0.25">
      <c r="C572" s="5"/>
      <c r="D572" s="6"/>
      <c r="G572" s="6"/>
      <c r="H572" s="6"/>
      <c r="L572" s="5"/>
      <c r="M572" s="6"/>
      <c r="P572" s="6"/>
      <c r="Q572" s="6"/>
      <c r="U572" s="5"/>
      <c r="V572" s="6"/>
      <c r="Y572" s="6"/>
      <c r="Z572" s="6"/>
      <c r="AD572" s="5"/>
      <c r="AE572" s="6"/>
      <c r="AH572" s="6"/>
      <c r="AI572" s="6"/>
      <c r="AM572" s="5"/>
      <c r="AN572" s="6"/>
      <c r="AQ572" s="6"/>
      <c r="AR572" s="6"/>
    </row>
    <row r="573" spans="3:44" ht="13.2" x14ac:dyDescent="0.25">
      <c r="C573" s="5"/>
      <c r="D573" s="6"/>
      <c r="G573" s="6"/>
      <c r="H573" s="6"/>
      <c r="L573" s="5"/>
      <c r="M573" s="6"/>
      <c r="P573" s="6"/>
      <c r="Q573" s="6"/>
      <c r="U573" s="5"/>
      <c r="V573" s="6"/>
      <c r="Y573" s="6"/>
      <c r="Z573" s="6"/>
      <c r="AD573" s="5"/>
      <c r="AE573" s="6"/>
      <c r="AH573" s="6"/>
      <c r="AI573" s="6"/>
      <c r="AM573" s="5"/>
      <c r="AN573" s="6"/>
      <c r="AQ573" s="6"/>
      <c r="AR573" s="6"/>
    </row>
    <row r="574" spans="3:44" ht="13.2" x14ac:dyDescent="0.25">
      <c r="C574" s="5"/>
      <c r="D574" s="6"/>
      <c r="G574" s="6"/>
      <c r="H574" s="6"/>
      <c r="L574" s="5"/>
      <c r="M574" s="6"/>
      <c r="P574" s="6"/>
      <c r="Q574" s="6"/>
      <c r="U574" s="5"/>
      <c r="V574" s="6"/>
      <c r="Y574" s="6"/>
      <c r="Z574" s="6"/>
      <c r="AD574" s="5"/>
      <c r="AE574" s="6"/>
      <c r="AH574" s="6"/>
      <c r="AI574" s="6"/>
      <c r="AM574" s="5"/>
      <c r="AN574" s="6"/>
      <c r="AQ574" s="6"/>
      <c r="AR574" s="6"/>
    </row>
    <row r="575" spans="3:44" ht="13.2" x14ac:dyDescent="0.25">
      <c r="C575" s="5"/>
      <c r="D575" s="6"/>
      <c r="G575" s="6"/>
      <c r="H575" s="6"/>
      <c r="L575" s="5"/>
      <c r="M575" s="6"/>
      <c r="P575" s="6"/>
      <c r="Q575" s="6"/>
      <c r="U575" s="5"/>
      <c r="V575" s="6"/>
      <c r="Y575" s="6"/>
      <c r="Z575" s="6"/>
      <c r="AD575" s="5"/>
      <c r="AE575" s="6"/>
      <c r="AH575" s="6"/>
      <c r="AI575" s="6"/>
      <c r="AM575" s="5"/>
      <c r="AN575" s="6"/>
      <c r="AQ575" s="6"/>
      <c r="AR575" s="6"/>
    </row>
    <row r="576" spans="3:44" ht="13.2" x14ac:dyDescent="0.25">
      <c r="C576" s="5"/>
      <c r="D576" s="6"/>
      <c r="G576" s="6"/>
      <c r="H576" s="6"/>
      <c r="L576" s="5"/>
      <c r="M576" s="6"/>
      <c r="P576" s="6"/>
      <c r="Q576" s="6"/>
      <c r="U576" s="5"/>
      <c r="V576" s="6"/>
      <c r="Y576" s="6"/>
      <c r="Z576" s="6"/>
      <c r="AD576" s="5"/>
      <c r="AE576" s="6"/>
      <c r="AH576" s="6"/>
      <c r="AI576" s="6"/>
      <c r="AM576" s="5"/>
      <c r="AN576" s="6"/>
      <c r="AQ576" s="6"/>
      <c r="AR576" s="6"/>
    </row>
    <row r="577" spans="3:44" ht="13.2" x14ac:dyDescent="0.25">
      <c r="C577" s="5"/>
      <c r="D577" s="6"/>
      <c r="G577" s="6"/>
      <c r="H577" s="6"/>
      <c r="L577" s="5"/>
      <c r="M577" s="6"/>
      <c r="P577" s="6"/>
      <c r="Q577" s="6"/>
      <c r="U577" s="5"/>
      <c r="V577" s="6"/>
      <c r="Y577" s="6"/>
      <c r="Z577" s="6"/>
      <c r="AD577" s="5"/>
      <c r="AE577" s="6"/>
      <c r="AH577" s="6"/>
      <c r="AI577" s="6"/>
      <c r="AM577" s="5"/>
      <c r="AN577" s="6"/>
      <c r="AQ577" s="6"/>
      <c r="AR577" s="6"/>
    </row>
    <row r="578" spans="3:44" ht="13.2" x14ac:dyDescent="0.25">
      <c r="C578" s="5"/>
      <c r="D578" s="6"/>
      <c r="G578" s="6"/>
      <c r="H578" s="6"/>
      <c r="L578" s="5"/>
      <c r="M578" s="6"/>
      <c r="P578" s="6"/>
      <c r="Q578" s="6"/>
      <c r="U578" s="5"/>
      <c r="V578" s="6"/>
      <c r="Y578" s="6"/>
      <c r="Z578" s="6"/>
      <c r="AD578" s="5"/>
      <c r="AE578" s="6"/>
      <c r="AH578" s="6"/>
      <c r="AI578" s="6"/>
      <c r="AM578" s="5"/>
      <c r="AN578" s="6"/>
      <c r="AQ578" s="6"/>
      <c r="AR578" s="6"/>
    </row>
    <row r="579" spans="3:44" ht="13.2" x14ac:dyDescent="0.25">
      <c r="C579" s="5"/>
      <c r="D579" s="6"/>
      <c r="G579" s="6"/>
      <c r="H579" s="6"/>
      <c r="L579" s="5"/>
      <c r="M579" s="6"/>
      <c r="P579" s="6"/>
      <c r="Q579" s="6"/>
      <c r="U579" s="5"/>
      <c r="V579" s="6"/>
      <c r="Y579" s="6"/>
      <c r="Z579" s="6"/>
      <c r="AD579" s="5"/>
      <c r="AE579" s="6"/>
      <c r="AH579" s="6"/>
      <c r="AI579" s="6"/>
      <c r="AM579" s="5"/>
      <c r="AN579" s="6"/>
      <c r="AQ579" s="6"/>
      <c r="AR579" s="6"/>
    </row>
    <row r="580" spans="3:44" ht="13.2" x14ac:dyDescent="0.25">
      <c r="C580" s="5"/>
      <c r="D580" s="6"/>
      <c r="G580" s="6"/>
      <c r="H580" s="6"/>
      <c r="L580" s="5"/>
      <c r="M580" s="6"/>
      <c r="P580" s="6"/>
      <c r="Q580" s="6"/>
      <c r="U580" s="5"/>
      <c r="V580" s="6"/>
      <c r="Y580" s="6"/>
      <c r="Z580" s="6"/>
      <c r="AD580" s="5"/>
      <c r="AE580" s="6"/>
      <c r="AH580" s="6"/>
      <c r="AI580" s="6"/>
      <c r="AM580" s="5"/>
      <c r="AN580" s="6"/>
      <c r="AQ580" s="6"/>
      <c r="AR580" s="6"/>
    </row>
    <row r="581" spans="3:44" ht="13.2" x14ac:dyDescent="0.25">
      <c r="C581" s="5"/>
      <c r="D581" s="6"/>
      <c r="G581" s="6"/>
      <c r="H581" s="6"/>
      <c r="L581" s="5"/>
      <c r="M581" s="6"/>
      <c r="P581" s="6"/>
      <c r="Q581" s="6"/>
      <c r="U581" s="5"/>
      <c r="V581" s="6"/>
      <c r="Y581" s="6"/>
      <c r="Z581" s="6"/>
      <c r="AD581" s="5"/>
      <c r="AE581" s="6"/>
      <c r="AH581" s="6"/>
      <c r="AI581" s="6"/>
      <c r="AM581" s="5"/>
      <c r="AN581" s="6"/>
      <c r="AQ581" s="6"/>
      <c r="AR581" s="6"/>
    </row>
    <row r="582" spans="3:44" ht="13.2" x14ac:dyDescent="0.25">
      <c r="C582" s="5"/>
      <c r="D582" s="6"/>
      <c r="G582" s="6"/>
      <c r="H582" s="6"/>
      <c r="L582" s="5"/>
      <c r="M582" s="6"/>
      <c r="P582" s="6"/>
      <c r="Q582" s="6"/>
      <c r="U582" s="5"/>
      <c r="V582" s="6"/>
      <c r="Y582" s="6"/>
      <c r="Z582" s="6"/>
      <c r="AD582" s="5"/>
      <c r="AE582" s="6"/>
      <c r="AH582" s="6"/>
      <c r="AI582" s="6"/>
      <c r="AM582" s="5"/>
      <c r="AN582" s="6"/>
      <c r="AQ582" s="6"/>
      <c r="AR582" s="6"/>
    </row>
    <row r="583" spans="3:44" ht="13.2" x14ac:dyDescent="0.25">
      <c r="C583" s="5"/>
      <c r="D583" s="6"/>
      <c r="G583" s="6"/>
      <c r="H583" s="6"/>
      <c r="L583" s="5"/>
      <c r="M583" s="6"/>
      <c r="P583" s="6"/>
      <c r="Q583" s="6"/>
      <c r="U583" s="5"/>
      <c r="V583" s="6"/>
      <c r="Y583" s="6"/>
      <c r="Z583" s="6"/>
      <c r="AD583" s="5"/>
      <c r="AE583" s="6"/>
      <c r="AH583" s="6"/>
      <c r="AI583" s="6"/>
      <c r="AM583" s="5"/>
      <c r="AN583" s="6"/>
      <c r="AQ583" s="6"/>
      <c r="AR583" s="6"/>
    </row>
    <row r="584" spans="3:44" ht="13.2" x14ac:dyDescent="0.25">
      <c r="C584" s="5"/>
      <c r="D584" s="6"/>
      <c r="G584" s="6"/>
      <c r="H584" s="6"/>
      <c r="L584" s="5"/>
      <c r="M584" s="6"/>
      <c r="P584" s="6"/>
      <c r="Q584" s="6"/>
      <c r="U584" s="5"/>
      <c r="V584" s="6"/>
      <c r="Y584" s="6"/>
      <c r="Z584" s="6"/>
      <c r="AD584" s="5"/>
      <c r="AE584" s="6"/>
      <c r="AH584" s="6"/>
      <c r="AI584" s="6"/>
      <c r="AM584" s="5"/>
      <c r="AN584" s="6"/>
      <c r="AQ584" s="6"/>
      <c r="AR584" s="6"/>
    </row>
    <row r="585" spans="3:44" ht="13.2" x14ac:dyDescent="0.25">
      <c r="C585" s="5"/>
      <c r="D585" s="6"/>
      <c r="G585" s="6"/>
      <c r="H585" s="6"/>
      <c r="L585" s="5"/>
      <c r="M585" s="6"/>
      <c r="P585" s="6"/>
      <c r="Q585" s="6"/>
      <c r="U585" s="5"/>
      <c r="V585" s="6"/>
      <c r="Y585" s="6"/>
      <c r="Z585" s="6"/>
      <c r="AD585" s="5"/>
      <c r="AE585" s="6"/>
      <c r="AH585" s="6"/>
      <c r="AI585" s="6"/>
      <c r="AM585" s="5"/>
      <c r="AN585" s="6"/>
      <c r="AQ585" s="6"/>
      <c r="AR585" s="6"/>
    </row>
    <row r="586" spans="3:44" ht="13.2" x14ac:dyDescent="0.25">
      <c r="C586" s="5"/>
      <c r="D586" s="6"/>
      <c r="G586" s="6"/>
      <c r="H586" s="6"/>
      <c r="L586" s="5"/>
      <c r="M586" s="6"/>
      <c r="P586" s="6"/>
      <c r="Q586" s="6"/>
      <c r="U586" s="5"/>
      <c r="V586" s="6"/>
      <c r="Y586" s="6"/>
      <c r="Z586" s="6"/>
      <c r="AD586" s="5"/>
      <c r="AE586" s="6"/>
      <c r="AH586" s="6"/>
      <c r="AI586" s="6"/>
      <c r="AM586" s="5"/>
      <c r="AN586" s="6"/>
      <c r="AQ586" s="6"/>
      <c r="AR586" s="6"/>
    </row>
    <row r="587" spans="3:44" ht="13.2" x14ac:dyDescent="0.25">
      <c r="C587" s="5"/>
      <c r="D587" s="6"/>
      <c r="G587" s="6"/>
      <c r="H587" s="6"/>
      <c r="L587" s="5"/>
      <c r="M587" s="6"/>
      <c r="P587" s="6"/>
      <c r="Q587" s="6"/>
      <c r="U587" s="5"/>
      <c r="V587" s="6"/>
      <c r="Y587" s="6"/>
      <c r="Z587" s="6"/>
      <c r="AD587" s="5"/>
      <c r="AE587" s="6"/>
      <c r="AH587" s="6"/>
      <c r="AI587" s="6"/>
      <c r="AM587" s="5"/>
      <c r="AN587" s="6"/>
      <c r="AQ587" s="6"/>
      <c r="AR587" s="6"/>
    </row>
    <row r="588" spans="3:44" ht="13.2" x14ac:dyDescent="0.25">
      <c r="C588" s="5"/>
      <c r="D588" s="6"/>
      <c r="G588" s="6"/>
      <c r="H588" s="6"/>
      <c r="L588" s="5"/>
      <c r="M588" s="6"/>
      <c r="P588" s="6"/>
      <c r="Q588" s="6"/>
      <c r="U588" s="5"/>
      <c r="V588" s="6"/>
      <c r="Y588" s="6"/>
      <c r="Z588" s="6"/>
      <c r="AD588" s="5"/>
      <c r="AE588" s="6"/>
      <c r="AH588" s="6"/>
      <c r="AI588" s="6"/>
      <c r="AM588" s="5"/>
      <c r="AN588" s="6"/>
      <c r="AQ588" s="6"/>
      <c r="AR588" s="6"/>
    </row>
    <row r="589" spans="3:44" ht="13.2" x14ac:dyDescent="0.25">
      <c r="C589" s="5"/>
      <c r="D589" s="6"/>
      <c r="G589" s="6"/>
      <c r="H589" s="6"/>
      <c r="L589" s="5"/>
      <c r="M589" s="6"/>
      <c r="P589" s="6"/>
      <c r="Q589" s="6"/>
      <c r="U589" s="5"/>
      <c r="V589" s="6"/>
      <c r="Y589" s="6"/>
      <c r="Z589" s="6"/>
      <c r="AD589" s="5"/>
      <c r="AE589" s="6"/>
      <c r="AH589" s="6"/>
      <c r="AI589" s="6"/>
      <c r="AM589" s="5"/>
      <c r="AN589" s="6"/>
      <c r="AQ589" s="6"/>
      <c r="AR589" s="6"/>
    </row>
    <row r="590" spans="3:44" ht="13.2" x14ac:dyDescent="0.25">
      <c r="C590" s="5"/>
      <c r="D590" s="6"/>
      <c r="G590" s="6"/>
      <c r="H590" s="6"/>
      <c r="L590" s="5"/>
      <c r="M590" s="6"/>
      <c r="P590" s="6"/>
      <c r="Q590" s="6"/>
      <c r="U590" s="5"/>
      <c r="V590" s="6"/>
      <c r="Y590" s="6"/>
      <c r="Z590" s="6"/>
      <c r="AD590" s="5"/>
      <c r="AE590" s="6"/>
      <c r="AH590" s="6"/>
      <c r="AI590" s="6"/>
      <c r="AM590" s="5"/>
      <c r="AN590" s="6"/>
      <c r="AQ590" s="6"/>
      <c r="AR590" s="6"/>
    </row>
    <row r="591" spans="3:44" ht="13.2" x14ac:dyDescent="0.25">
      <c r="C591" s="5"/>
      <c r="D591" s="6"/>
      <c r="G591" s="6"/>
      <c r="H591" s="6"/>
      <c r="L591" s="5"/>
      <c r="M591" s="6"/>
      <c r="P591" s="6"/>
      <c r="Q591" s="6"/>
      <c r="U591" s="5"/>
      <c r="V591" s="6"/>
      <c r="Y591" s="6"/>
      <c r="Z591" s="6"/>
      <c r="AD591" s="5"/>
      <c r="AE591" s="6"/>
      <c r="AH591" s="6"/>
      <c r="AI591" s="6"/>
      <c r="AM591" s="5"/>
      <c r="AN591" s="6"/>
      <c r="AQ591" s="6"/>
      <c r="AR591" s="6"/>
    </row>
    <row r="592" spans="3:44" ht="13.2" x14ac:dyDescent="0.25">
      <c r="C592" s="5"/>
      <c r="D592" s="6"/>
      <c r="G592" s="6"/>
      <c r="H592" s="6"/>
      <c r="L592" s="5"/>
      <c r="M592" s="6"/>
      <c r="P592" s="6"/>
      <c r="Q592" s="6"/>
      <c r="U592" s="5"/>
      <c r="V592" s="6"/>
      <c r="Y592" s="6"/>
      <c r="Z592" s="6"/>
      <c r="AD592" s="5"/>
      <c r="AE592" s="6"/>
      <c r="AH592" s="6"/>
      <c r="AI592" s="6"/>
      <c r="AM592" s="5"/>
      <c r="AN592" s="6"/>
      <c r="AQ592" s="6"/>
      <c r="AR592" s="6"/>
    </row>
    <row r="593" spans="3:44" ht="13.2" x14ac:dyDescent="0.25">
      <c r="C593" s="5"/>
      <c r="D593" s="6"/>
      <c r="G593" s="6"/>
      <c r="H593" s="6"/>
      <c r="L593" s="5"/>
      <c r="M593" s="6"/>
      <c r="P593" s="6"/>
      <c r="Q593" s="6"/>
      <c r="U593" s="5"/>
      <c r="V593" s="6"/>
      <c r="Y593" s="6"/>
      <c r="Z593" s="6"/>
      <c r="AD593" s="5"/>
      <c r="AE593" s="6"/>
      <c r="AH593" s="6"/>
      <c r="AI593" s="6"/>
      <c r="AM593" s="5"/>
      <c r="AN593" s="6"/>
      <c r="AQ593" s="6"/>
      <c r="AR593" s="6"/>
    </row>
    <row r="594" spans="3:44" ht="13.2" x14ac:dyDescent="0.25">
      <c r="C594" s="5"/>
      <c r="D594" s="6"/>
      <c r="G594" s="6"/>
      <c r="H594" s="6"/>
      <c r="L594" s="5"/>
      <c r="M594" s="6"/>
      <c r="P594" s="6"/>
      <c r="Q594" s="6"/>
      <c r="U594" s="5"/>
      <c r="V594" s="6"/>
      <c r="Y594" s="6"/>
      <c r="Z594" s="6"/>
      <c r="AD594" s="5"/>
      <c r="AE594" s="6"/>
      <c r="AH594" s="6"/>
      <c r="AI594" s="6"/>
      <c r="AM594" s="5"/>
      <c r="AN594" s="6"/>
      <c r="AQ594" s="6"/>
      <c r="AR594" s="6"/>
    </row>
    <row r="595" spans="3:44" ht="13.2" x14ac:dyDescent="0.25">
      <c r="C595" s="5"/>
      <c r="D595" s="6"/>
      <c r="G595" s="6"/>
      <c r="H595" s="6"/>
      <c r="L595" s="5"/>
      <c r="M595" s="6"/>
      <c r="P595" s="6"/>
      <c r="Q595" s="6"/>
      <c r="U595" s="5"/>
      <c r="V595" s="6"/>
      <c r="Y595" s="6"/>
      <c r="Z595" s="6"/>
      <c r="AD595" s="5"/>
      <c r="AE595" s="6"/>
      <c r="AH595" s="6"/>
      <c r="AI595" s="6"/>
      <c r="AM595" s="5"/>
      <c r="AN595" s="6"/>
      <c r="AQ595" s="6"/>
      <c r="AR595" s="6"/>
    </row>
    <row r="596" spans="3:44" ht="13.2" x14ac:dyDescent="0.25">
      <c r="C596" s="5"/>
      <c r="D596" s="6"/>
      <c r="G596" s="6"/>
      <c r="H596" s="6"/>
      <c r="L596" s="5"/>
      <c r="M596" s="6"/>
      <c r="P596" s="6"/>
      <c r="Q596" s="6"/>
      <c r="U596" s="5"/>
      <c r="V596" s="6"/>
      <c r="Y596" s="6"/>
      <c r="Z596" s="6"/>
      <c r="AD596" s="5"/>
      <c r="AE596" s="6"/>
      <c r="AH596" s="6"/>
      <c r="AI596" s="6"/>
      <c r="AM596" s="5"/>
      <c r="AN596" s="6"/>
      <c r="AQ596" s="6"/>
      <c r="AR596" s="6"/>
    </row>
    <row r="597" spans="3:44" ht="13.2" x14ac:dyDescent="0.25">
      <c r="C597" s="5"/>
      <c r="D597" s="6"/>
      <c r="G597" s="6"/>
      <c r="H597" s="6"/>
      <c r="L597" s="5"/>
      <c r="M597" s="6"/>
      <c r="P597" s="6"/>
      <c r="Q597" s="6"/>
      <c r="U597" s="5"/>
      <c r="V597" s="6"/>
      <c r="Y597" s="6"/>
      <c r="Z597" s="6"/>
      <c r="AD597" s="5"/>
      <c r="AE597" s="6"/>
      <c r="AH597" s="6"/>
      <c r="AI597" s="6"/>
      <c r="AM597" s="5"/>
      <c r="AN597" s="6"/>
      <c r="AQ597" s="6"/>
      <c r="AR597" s="6"/>
    </row>
    <row r="598" spans="3:44" ht="13.2" x14ac:dyDescent="0.25">
      <c r="C598" s="5"/>
      <c r="D598" s="6"/>
      <c r="G598" s="6"/>
      <c r="H598" s="6"/>
      <c r="L598" s="5"/>
      <c r="M598" s="6"/>
      <c r="P598" s="6"/>
      <c r="Q598" s="6"/>
      <c r="U598" s="5"/>
      <c r="V598" s="6"/>
      <c r="Y598" s="6"/>
      <c r="Z598" s="6"/>
      <c r="AD598" s="5"/>
      <c r="AE598" s="6"/>
      <c r="AH598" s="6"/>
      <c r="AI598" s="6"/>
      <c r="AM598" s="5"/>
      <c r="AN598" s="6"/>
      <c r="AQ598" s="6"/>
      <c r="AR598" s="6"/>
    </row>
    <row r="599" spans="3:44" ht="13.2" x14ac:dyDescent="0.25">
      <c r="C599" s="5"/>
      <c r="D599" s="6"/>
      <c r="G599" s="6"/>
      <c r="H599" s="6"/>
      <c r="L599" s="5"/>
      <c r="M599" s="6"/>
      <c r="P599" s="6"/>
      <c r="Q599" s="6"/>
      <c r="U599" s="5"/>
      <c r="V599" s="6"/>
      <c r="Y599" s="6"/>
      <c r="Z599" s="6"/>
      <c r="AD599" s="5"/>
      <c r="AE599" s="6"/>
      <c r="AH599" s="6"/>
      <c r="AI599" s="6"/>
      <c r="AM599" s="5"/>
      <c r="AN599" s="6"/>
      <c r="AQ599" s="6"/>
      <c r="AR599" s="6"/>
    </row>
    <row r="600" spans="3:44" ht="13.2" x14ac:dyDescent="0.25">
      <c r="C600" s="5"/>
      <c r="D600" s="6"/>
      <c r="G600" s="6"/>
      <c r="H600" s="6"/>
      <c r="L600" s="5"/>
      <c r="M600" s="6"/>
      <c r="P600" s="6"/>
      <c r="Q600" s="6"/>
      <c r="U600" s="5"/>
      <c r="V600" s="6"/>
      <c r="Y600" s="6"/>
      <c r="Z600" s="6"/>
      <c r="AD600" s="5"/>
      <c r="AE600" s="6"/>
      <c r="AH600" s="6"/>
      <c r="AI600" s="6"/>
      <c r="AM600" s="5"/>
      <c r="AN600" s="6"/>
      <c r="AQ600" s="6"/>
      <c r="AR600" s="6"/>
    </row>
    <row r="601" spans="3:44" ht="13.2" x14ac:dyDescent="0.25">
      <c r="C601" s="5"/>
      <c r="D601" s="6"/>
      <c r="G601" s="6"/>
      <c r="H601" s="6"/>
      <c r="L601" s="5"/>
      <c r="M601" s="6"/>
      <c r="P601" s="6"/>
      <c r="Q601" s="6"/>
      <c r="U601" s="5"/>
      <c r="V601" s="6"/>
      <c r="Y601" s="6"/>
      <c r="Z601" s="6"/>
      <c r="AD601" s="5"/>
      <c r="AE601" s="6"/>
      <c r="AH601" s="6"/>
      <c r="AI601" s="6"/>
      <c r="AM601" s="5"/>
      <c r="AN601" s="6"/>
      <c r="AQ601" s="6"/>
      <c r="AR601" s="6"/>
    </row>
    <row r="602" spans="3:44" ht="13.2" x14ac:dyDescent="0.25">
      <c r="C602" s="5"/>
      <c r="D602" s="6"/>
      <c r="G602" s="6"/>
      <c r="H602" s="6"/>
      <c r="L602" s="5"/>
      <c r="M602" s="6"/>
      <c r="P602" s="6"/>
      <c r="Q602" s="6"/>
      <c r="U602" s="5"/>
      <c r="V602" s="6"/>
      <c r="Y602" s="6"/>
      <c r="Z602" s="6"/>
      <c r="AD602" s="5"/>
      <c r="AE602" s="6"/>
      <c r="AH602" s="6"/>
      <c r="AI602" s="6"/>
      <c r="AM602" s="5"/>
      <c r="AN602" s="6"/>
      <c r="AQ602" s="6"/>
      <c r="AR602" s="6"/>
    </row>
    <row r="603" spans="3:44" ht="13.2" x14ac:dyDescent="0.25">
      <c r="C603" s="5"/>
      <c r="D603" s="6"/>
      <c r="G603" s="6"/>
      <c r="H603" s="6"/>
      <c r="L603" s="5"/>
      <c r="M603" s="6"/>
      <c r="P603" s="6"/>
      <c r="Q603" s="6"/>
      <c r="U603" s="5"/>
      <c r="V603" s="6"/>
      <c r="Y603" s="6"/>
      <c r="Z603" s="6"/>
      <c r="AD603" s="5"/>
      <c r="AE603" s="6"/>
      <c r="AH603" s="6"/>
      <c r="AI603" s="6"/>
      <c r="AM603" s="5"/>
      <c r="AN603" s="6"/>
      <c r="AQ603" s="6"/>
      <c r="AR603" s="6"/>
    </row>
    <row r="604" spans="3:44" ht="13.2" x14ac:dyDescent="0.25">
      <c r="C604" s="5"/>
      <c r="D604" s="6"/>
      <c r="G604" s="6"/>
      <c r="H604" s="6"/>
      <c r="L604" s="5"/>
      <c r="M604" s="6"/>
      <c r="P604" s="6"/>
      <c r="Q604" s="6"/>
      <c r="U604" s="5"/>
      <c r="V604" s="6"/>
      <c r="Y604" s="6"/>
      <c r="Z604" s="6"/>
      <c r="AD604" s="5"/>
      <c r="AE604" s="6"/>
      <c r="AH604" s="6"/>
      <c r="AI604" s="6"/>
      <c r="AM604" s="5"/>
      <c r="AN604" s="6"/>
      <c r="AQ604" s="6"/>
      <c r="AR604" s="6"/>
    </row>
    <row r="605" spans="3:44" ht="13.2" x14ac:dyDescent="0.25">
      <c r="C605" s="5"/>
      <c r="D605" s="6"/>
      <c r="G605" s="6"/>
      <c r="H605" s="6"/>
      <c r="L605" s="5"/>
      <c r="M605" s="6"/>
      <c r="P605" s="6"/>
      <c r="Q605" s="6"/>
      <c r="U605" s="5"/>
      <c r="V605" s="6"/>
      <c r="Y605" s="6"/>
      <c r="Z605" s="6"/>
      <c r="AD605" s="5"/>
      <c r="AE605" s="6"/>
      <c r="AH605" s="6"/>
      <c r="AI605" s="6"/>
      <c r="AM605" s="5"/>
      <c r="AN605" s="6"/>
      <c r="AQ605" s="6"/>
      <c r="AR605" s="6"/>
    </row>
    <row r="606" spans="3:44" ht="13.2" x14ac:dyDescent="0.25">
      <c r="C606" s="5"/>
      <c r="D606" s="6"/>
      <c r="G606" s="6"/>
      <c r="H606" s="6"/>
      <c r="L606" s="5"/>
      <c r="M606" s="6"/>
      <c r="P606" s="6"/>
      <c r="Q606" s="6"/>
      <c r="U606" s="5"/>
      <c r="V606" s="6"/>
      <c r="Y606" s="6"/>
      <c r="Z606" s="6"/>
      <c r="AD606" s="5"/>
      <c r="AE606" s="6"/>
      <c r="AH606" s="6"/>
      <c r="AI606" s="6"/>
      <c r="AM606" s="5"/>
      <c r="AN606" s="6"/>
      <c r="AQ606" s="6"/>
      <c r="AR606" s="6"/>
    </row>
    <row r="607" spans="3:44" ht="13.2" x14ac:dyDescent="0.25">
      <c r="C607" s="5"/>
      <c r="D607" s="6"/>
      <c r="G607" s="6"/>
      <c r="H607" s="6"/>
      <c r="L607" s="5"/>
      <c r="M607" s="6"/>
      <c r="P607" s="6"/>
      <c r="Q607" s="6"/>
      <c r="U607" s="5"/>
      <c r="V607" s="6"/>
      <c r="Y607" s="6"/>
      <c r="Z607" s="6"/>
      <c r="AD607" s="5"/>
      <c r="AE607" s="6"/>
      <c r="AH607" s="6"/>
      <c r="AI607" s="6"/>
      <c r="AM607" s="5"/>
      <c r="AN607" s="6"/>
      <c r="AQ607" s="6"/>
      <c r="AR607" s="6"/>
    </row>
    <row r="608" spans="3:44" ht="13.2" x14ac:dyDescent="0.25">
      <c r="C608" s="5"/>
      <c r="D608" s="6"/>
      <c r="G608" s="6"/>
      <c r="H608" s="6"/>
      <c r="L608" s="5"/>
      <c r="M608" s="6"/>
      <c r="P608" s="6"/>
      <c r="Q608" s="6"/>
      <c r="U608" s="5"/>
      <c r="V608" s="6"/>
      <c r="Y608" s="6"/>
      <c r="Z608" s="6"/>
      <c r="AD608" s="5"/>
      <c r="AE608" s="6"/>
      <c r="AH608" s="6"/>
      <c r="AI608" s="6"/>
      <c r="AM608" s="5"/>
      <c r="AN608" s="6"/>
      <c r="AQ608" s="6"/>
      <c r="AR608" s="6"/>
    </row>
    <row r="609" spans="3:44" ht="13.2" x14ac:dyDescent="0.25">
      <c r="C609" s="5"/>
      <c r="D609" s="6"/>
      <c r="G609" s="6"/>
      <c r="H609" s="6"/>
      <c r="L609" s="5"/>
      <c r="M609" s="6"/>
      <c r="P609" s="6"/>
      <c r="Q609" s="6"/>
      <c r="U609" s="5"/>
      <c r="V609" s="6"/>
      <c r="Y609" s="6"/>
      <c r="Z609" s="6"/>
      <c r="AD609" s="5"/>
      <c r="AE609" s="6"/>
      <c r="AH609" s="6"/>
      <c r="AI609" s="6"/>
      <c r="AM609" s="5"/>
      <c r="AN609" s="6"/>
      <c r="AQ609" s="6"/>
      <c r="AR609" s="6"/>
    </row>
    <row r="610" spans="3:44" ht="13.2" x14ac:dyDescent="0.25">
      <c r="C610" s="5"/>
      <c r="D610" s="6"/>
      <c r="G610" s="6"/>
      <c r="H610" s="6"/>
      <c r="L610" s="5"/>
      <c r="M610" s="6"/>
      <c r="P610" s="6"/>
      <c r="Q610" s="6"/>
      <c r="U610" s="5"/>
      <c r="V610" s="6"/>
      <c r="Y610" s="6"/>
      <c r="Z610" s="6"/>
      <c r="AD610" s="5"/>
      <c r="AE610" s="6"/>
      <c r="AH610" s="6"/>
      <c r="AI610" s="6"/>
      <c r="AM610" s="5"/>
      <c r="AN610" s="6"/>
      <c r="AQ610" s="6"/>
      <c r="AR610" s="6"/>
    </row>
    <row r="611" spans="3:44" ht="13.2" x14ac:dyDescent="0.25">
      <c r="C611" s="5"/>
      <c r="D611" s="6"/>
      <c r="G611" s="6"/>
      <c r="H611" s="6"/>
      <c r="L611" s="5"/>
      <c r="M611" s="6"/>
      <c r="P611" s="6"/>
      <c r="Q611" s="6"/>
      <c r="U611" s="5"/>
      <c r="V611" s="6"/>
      <c r="Y611" s="6"/>
      <c r="Z611" s="6"/>
      <c r="AD611" s="5"/>
      <c r="AE611" s="6"/>
      <c r="AH611" s="6"/>
      <c r="AI611" s="6"/>
      <c r="AM611" s="5"/>
      <c r="AN611" s="6"/>
      <c r="AQ611" s="6"/>
      <c r="AR611" s="6"/>
    </row>
    <row r="612" spans="3:44" ht="13.2" x14ac:dyDescent="0.25">
      <c r="C612" s="5"/>
      <c r="D612" s="6"/>
      <c r="G612" s="6"/>
      <c r="H612" s="6"/>
      <c r="L612" s="5"/>
      <c r="M612" s="6"/>
      <c r="P612" s="6"/>
      <c r="Q612" s="6"/>
      <c r="U612" s="5"/>
      <c r="V612" s="6"/>
      <c r="Y612" s="6"/>
      <c r="Z612" s="6"/>
      <c r="AD612" s="5"/>
      <c r="AE612" s="6"/>
      <c r="AH612" s="6"/>
      <c r="AI612" s="6"/>
      <c r="AM612" s="5"/>
      <c r="AN612" s="6"/>
      <c r="AQ612" s="6"/>
      <c r="AR612" s="6"/>
    </row>
    <row r="613" spans="3:44" ht="13.2" x14ac:dyDescent="0.25">
      <c r="C613" s="5"/>
      <c r="D613" s="6"/>
      <c r="G613" s="6"/>
      <c r="H613" s="6"/>
      <c r="L613" s="5"/>
      <c r="M613" s="6"/>
      <c r="P613" s="6"/>
      <c r="Q613" s="6"/>
      <c r="U613" s="5"/>
      <c r="V613" s="6"/>
      <c r="Y613" s="6"/>
      <c r="Z613" s="6"/>
      <c r="AD613" s="5"/>
      <c r="AE613" s="6"/>
      <c r="AH613" s="6"/>
      <c r="AI613" s="6"/>
      <c r="AM613" s="5"/>
      <c r="AN613" s="6"/>
      <c r="AQ613" s="6"/>
      <c r="AR613" s="6"/>
    </row>
    <row r="614" spans="3:44" ht="13.2" x14ac:dyDescent="0.25">
      <c r="C614" s="5"/>
      <c r="D614" s="6"/>
      <c r="G614" s="6"/>
      <c r="H614" s="6"/>
      <c r="L614" s="5"/>
      <c r="M614" s="6"/>
      <c r="P614" s="6"/>
      <c r="Q614" s="6"/>
      <c r="U614" s="5"/>
      <c r="V614" s="6"/>
      <c r="Y614" s="6"/>
      <c r="Z614" s="6"/>
      <c r="AD614" s="5"/>
      <c r="AE614" s="6"/>
      <c r="AH614" s="6"/>
      <c r="AI614" s="6"/>
      <c r="AM614" s="5"/>
      <c r="AN614" s="6"/>
      <c r="AQ614" s="6"/>
      <c r="AR614" s="6"/>
    </row>
    <row r="615" spans="3:44" ht="13.2" x14ac:dyDescent="0.25">
      <c r="C615" s="5"/>
      <c r="D615" s="6"/>
      <c r="G615" s="6"/>
      <c r="H615" s="6"/>
      <c r="L615" s="5"/>
      <c r="M615" s="6"/>
      <c r="P615" s="6"/>
      <c r="Q615" s="6"/>
      <c r="U615" s="5"/>
      <c r="V615" s="6"/>
      <c r="Y615" s="6"/>
      <c r="Z615" s="6"/>
      <c r="AD615" s="5"/>
      <c r="AE615" s="6"/>
      <c r="AH615" s="6"/>
      <c r="AI615" s="6"/>
      <c r="AM615" s="5"/>
      <c r="AN615" s="6"/>
      <c r="AQ615" s="6"/>
      <c r="AR615" s="6"/>
    </row>
    <row r="616" spans="3:44" ht="13.2" x14ac:dyDescent="0.25">
      <c r="C616" s="5"/>
      <c r="D616" s="6"/>
      <c r="G616" s="6"/>
      <c r="H616" s="6"/>
      <c r="L616" s="5"/>
      <c r="M616" s="6"/>
      <c r="P616" s="6"/>
      <c r="Q616" s="6"/>
      <c r="U616" s="5"/>
      <c r="V616" s="6"/>
      <c r="Y616" s="6"/>
      <c r="Z616" s="6"/>
      <c r="AD616" s="5"/>
      <c r="AE616" s="6"/>
      <c r="AH616" s="6"/>
      <c r="AI616" s="6"/>
      <c r="AM616" s="5"/>
      <c r="AN616" s="6"/>
      <c r="AQ616" s="6"/>
      <c r="AR616" s="6"/>
    </row>
    <row r="617" spans="3:44" ht="13.2" x14ac:dyDescent="0.25">
      <c r="C617" s="5"/>
      <c r="D617" s="6"/>
      <c r="G617" s="6"/>
      <c r="H617" s="6"/>
      <c r="L617" s="5"/>
      <c r="M617" s="6"/>
      <c r="P617" s="6"/>
      <c r="Q617" s="6"/>
      <c r="U617" s="5"/>
      <c r="V617" s="6"/>
      <c r="Y617" s="6"/>
      <c r="Z617" s="6"/>
      <c r="AD617" s="5"/>
      <c r="AE617" s="6"/>
      <c r="AH617" s="6"/>
      <c r="AI617" s="6"/>
      <c r="AM617" s="5"/>
      <c r="AN617" s="6"/>
      <c r="AQ617" s="6"/>
      <c r="AR617" s="6"/>
    </row>
    <row r="618" spans="3:44" ht="13.2" x14ac:dyDescent="0.25">
      <c r="C618" s="5"/>
      <c r="D618" s="6"/>
      <c r="G618" s="6"/>
      <c r="H618" s="6"/>
      <c r="L618" s="5"/>
      <c r="M618" s="6"/>
      <c r="P618" s="6"/>
      <c r="Q618" s="6"/>
      <c r="U618" s="5"/>
      <c r="V618" s="6"/>
      <c r="Y618" s="6"/>
      <c r="Z618" s="6"/>
      <c r="AD618" s="5"/>
      <c r="AE618" s="6"/>
      <c r="AH618" s="6"/>
      <c r="AI618" s="6"/>
      <c r="AM618" s="5"/>
      <c r="AN618" s="6"/>
      <c r="AQ618" s="6"/>
      <c r="AR618" s="6"/>
    </row>
    <row r="619" spans="3:44" ht="13.2" x14ac:dyDescent="0.25">
      <c r="C619" s="5"/>
      <c r="D619" s="6"/>
      <c r="G619" s="6"/>
      <c r="H619" s="6"/>
      <c r="L619" s="5"/>
      <c r="M619" s="6"/>
      <c r="P619" s="6"/>
      <c r="Q619" s="6"/>
      <c r="U619" s="5"/>
      <c r="V619" s="6"/>
      <c r="Y619" s="6"/>
      <c r="Z619" s="6"/>
      <c r="AD619" s="5"/>
      <c r="AE619" s="6"/>
      <c r="AH619" s="6"/>
      <c r="AI619" s="6"/>
      <c r="AM619" s="5"/>
      <c r="AN619" s="6"/>
      <c r="AQ619" s="6"/>
      <c r="AR619" s="6"/>
    </row>
    <row r="620" spans="3:44" ht="13.2" x14ac:dyDescent="0.25">
      <c r="C620" s="5"/>
      <c r="D620" s="6"/>
      <c r="G620" s="6"/>
      <c r="H620" s="6"/>
      <c r="L620" s="5"/>
      <c r="M620" s="6"/>
      <c r="P620" s="6"/>
      <c r="Q620" s="6"/>
      <c r="U620" s="5"/>
      <c r="V620" s="6"/>
      <c r="Y620" s="6"/>
      <c r="Z620" s="6"/>
      <c r="AD620" s="5"/>
      <c r="AE620" s="6"/>
      <c r="AH620" s="6"/>
      <c r="AI620" s="6"/>
      <c r="AM620" s="5"/>
      <c r="AN620" s="6"/>
      <c r="AQ620" s="6"/>
      <c r="AR620" s="6"/>
    </row>
    <row r="621" spans="3:44" ht="13.2" x14ac:dyDescent="0.25">
      <c r="C621" s="5"/>
      <c r="D621" s="6"/>
      <c r="G621" s="6"/>
      <c r="H621" s="6"/>
      <c r="L621" s="5"/>
      <c r="M621" s="6"/>
      <c r="P621" s="6"/>
      <c r="Q621" s="6"/>
      <c r="U621" s="5"/>
      <c r="V621" s="6"/>
      <c r="Y621" s="6"/>
      <c r="Z621" s="6"/>
      <c r="AD621" s="5"/>
      <c r="AE621" s="6"/>
      <c r="AH621" s="6"/>
      <c r="AI621" s="6"/>
      <c r="AM621" s="5"/>
      <c r="AN621" s="6"/>
      <c r="AQ621" s="6"/>
      <c r="AR621" s="6"/>
    </row>
    <row r="622" spans="3:44" ht="13.2" x14ac:dyDescent="0.25">
      <c r="C622" s="5"/>
      <c r="D622" s="6"/>
      <c r="G622" s="6"/>
      <c r="H622" s="6"/>
      <c r="L622" s="5"/>
      <c r="M622" s="6"/>
      <c r="P622" s="6"/>
      <c r="Q622" s="6"/>
      <c r="U622" s="5"/>
      <c r="V622" s="6"/>
      <c r="Y622" s="6"/>
      <c r="Z622" s="6"/>
      <c r="AD622" s="5"/>
      <c r="AE622" s="6"/>
      <c r="AH622" s="6"/>
      <c r="AI622" s="6"/>
      <c r="AM622" s="5"/>
      <c r="AN622" s="6"/>
      <c r="AQ622" s="6"/>
      <c r="AR622" s="6"/>
    </row>
    <row r="623" spans="3:44" ht="13.2" x14ac:dyDescent="0.25">
      <c r="C623" s="5"/>
      <c r="D623" s="6"/>
      <c r="G623" s="6"/>
      <c r="H623" s="6"/>
      <c r="L623" s="5"/>
      <c r="M623" s="6"/>
      <c r="P623" s="6"/>
      <c r="Q623" s="6"/>
      <c r="U623" s="5"/>
      <c r="V623" s="6"/>
      <c r="Y623" s="6"/>
      <c r="Z623" s="6"/>
      <c r="AD623" s="5"/>
      <c r="AE623" s="6"/>
      <c r="AH623" s="6"/>
      <c r="AI623" s="6"/>
      <c r="AM623" s="5"/>
      <c r="AN623" s="6"/>
      <c r="AQ623" s="6"/>
      <c r="AR623" s="6"/>
    </row>
    <row r="624" spans="3:44" ht="13.2" x14ac:dyDescent="0.25">
      <c r="C624" s="5"/>
      <c r="D624" s="6"/>
      <c r="G624" s="6"/>
      <c r="H624" s="6"/>
      <c r="L624" s="5"/>
      <c r="M624" s="6"/>
      <c r="P624" s="6"/>
      <c r="Q624" s="6"/>
      <c r="U624" s="5"/>
      <c r="V624" s="6"/>
      <c r="Y624" s="6"/>
      <c r="Z624" s="6"/>
      <c r="AD624" s="5"/>
      <c r="AE624" s="6"/>
      <c r="AH624" s="6"/>
      <c r="AI624" s="6"/>
      <c r="AM624" s="5"/>
      <c r="AN624" s="6"/>
      <c r="AQ624" s="6"/>
      <c r="AR624" s="6"/>
    </row>
    <row r="625" spans="3:44" ht="13.2" x14ac:dyDescent="0.25">
      <c r="C625" s="5"/>
      <c r="D625" s="6"/>
      <c r="G625" s="6"/>
      <c r="H625" s="6"/>
      <c r="L625" s="5"/>
      <c r="M625" s="6"/>
      <c r="P625" s="6"/>
      <c r="Q625" s="6"/>
      <c r="U625" s="5"/>
      <c r="V625" s="6"/>
      <c r="Y625" s="6"/>
      <c r="Z625" s="6"/>
      <c r="AD625" s="5"/>
      <c r="AE625" s="6"/>
      <c r="AH625" s="6"/>
      <c r="AI625" s="6"/>
      <c r="AM625" s="5"/>
      <c r="AN625" s="6"/>
      <c r="AQ625" s="6"/>
      <c r="AR625" s="6"/>
    </row>
    <row r="626" spans="3:44" ht="13.2" x14ac:dyDescent="0.25">
      <c r="C626" s="5"/>
      <c r="D626" s="6"/>
      <c r="G626" s="6"/>
      <c r="H626" s="6"/>
      <c r="L626" s="5"/>
      <c r="M626" s="6"/>
      <c r="P626" s="6"/>
      <c r="Q626" s="6"/>
      <c r="U626" s="5"/>
      <c r="V626" s="6"/>
      <c r="Y626" s="6"/>
      <c r="Z626" s="6"/>
      <c r="AD626" s="5"/>
      <c r="AE626" s="6"/>
      <c r="AH626" s="6"/>
      <c r="AI626" s="6"/>
      <c r="AM626" s="5"/>
      <c r="AN626" s="6"/>
      <c r="AQ626" s="6"/>
      <c r="AR626" s="6"/>
    </row>
    <row r="627" spans="3:44" ht="13.2" x14ac:dyDescent="0.25">
      <c r="C627" s="5"/>
      <c r="D627" s="6"/>
      <c r="G627" s="6"/>
      <c r="H627" s="6"/>
      <c r="L627" s="5"/>
      <c r="M627" s="6"/>
      <c r="P627" s="6"/>
      <c r="Q627" s="6"/>
      <c r="U627" s="5"/>
      <c r="V627" s="6"/>
      <c r="Y627" s="6"/>
      <c r="Z627" s="6"/>
      <c r="AD627" s="5"/>
      <c r="AE627" s="6"/>
      <c r="AH627" s="6"/>
      <c r="AI627" s="6"/>
      <c r="AM627" s="5"/>
      <c r="AN627" s="6"/>
      <c r="AQ627" s="6"/>
      <c r="AR627" s="6"/>
    </row>
    <row r="628" spans="3:44" ht="13.2" x14ac:dyDescent="0.25">
      <c r="C628" s="5"/>
      <c r="D628" s="6"/>
      <c r="G628" s="6"/>
      <c r="H628" s="6"/>
      <c r="L628" s="5"/>
      <c r="M628" s="6"/>
      <c r="P628" s="6"/>
      <c r="Q628" s="6"/>
      <c r="U628" s="5"/>
      <c r="V628" s="6"/>
      <c r="Y628" s="6"/>
      <c r="Z628" s="6"/>
      <c r="AD628" s="5"/>
      <c r="AE628" s="6"/>
      <c r="AH628" s="6"/>
      <c r="AI628" s="6"/>
      <c r="AM628" s="5"/>
      <c r="AN628" s="6"/>
      <c r="AQ628" s="6"/>
      <c r="AR628" s="6"/>
    </row>
    <row r="629" spans="3:44" ht="13.2" x14ac:dyDescent="0.25">
      <c r="C629" s="5"/>
      <c r="D629" s="6"/>
      <c r="G629" s="6"/>
      <c r="H629" s="6"/>
      <c r="L629" s="5"/>
      <c r="M629" s="6"/>
      <c r="P629" s="6"/>
      <c r="Q629" s="6"/>
      <c r="U629" s="5"/>
      <c r="V629" s="6"/>
      <c r="Y629" s="6"/>
      <c r="Z629" s="6"/>
      <c r="AD629" s="5"/>
      <c r="AE629" s="6"/>
      <c r="AH629" s="6"/>
      <c r="AI629" s="6"/>
      <c r="AM629" s="5"/>
      <c r="AN629" s="6"/>
      <c r="AQ629" s="6"/>
      <c r="AR629" s="6"/>
    </row>
    <row r="630" spans="3:44" ht="13.2" x14ac:dyDescent="0.25">
      <c r="C630" s="5"/>
      <c r="D630" s="6"/>
      <c r="G630" s="6"/>
      <c r="H630" s="6"/>
      <c r="L630" s="5"/>
      <c r="M630" s="6"/>
      <c r="P630" s="6"/>
      <c r="Q630" s="6"/>
      <c r="U630" s="5"/>
      <c r="V630" s="6"/>
      <c r="Y630" s="6"/>
      <c r="Z630" s="6"/>
      <c r="AD630" s="5"/>
      <c r="AE630" s="6"/>
      <c r="AH630" s="6"/>
      <c r="AI630" s="6"/>
      <c r="AM630" s="5"/>
      <c r="AN630" s="6"/>
      <c r="AQ630" s="6"/>
      <c r="AR630" s="6"/>
    </row>
    <row r="631" spans="3:44" ht="13.2" x14ac:dyDescent="0.25">
      <c r="C631" s="5"/>
      <c r="D631" s="6"/>
      <c r="G631" s="6"/>
      <c r="H631" s="6"/>
      <c r="L631" s="5"/>
      <c r="M631" s="6"/>
      <c r="P631" s="6"/>
      <c r="Q631" s="6"/>
      <c r="U631" s="5"/>
      <c r="V631" s="6"/>
      <c r="Y631" s="6"/>
      <c r="Z631" s="6"/>
      <c r="AD631" s="5"/>
      <c r="AE631" s="6"/>
      <c r="AH631" s="6"/>
      <c r="AI631" s="6"/>
      <c r="AM631" s="5"/>
      <c r="AN631" s="6"/>
      <c r="AQ631" s="6"/>
      <c r="AR631" s="6"/>
    </row>
    <row r="632" spans="3:44" ht="13.2" x14ac:dyDescent="0.25">
      <c r="C632" s="5"/>
      <c r="D632" s="6"/>
      <c r="G632" s="6"/>
      <c r="H632" s="6"/>
      <c r="L632" s="5"/>
      <c r="M632" s="6"/>
      <c r="P632" s="6"/>
      <c r="Q632" s="6"/>
      <c r="U632" s="5"/>
      <c r="V632" s="6"/>
      <c r="Y632" s="6"/>
      <c r="Z632" s="6"/>
      <c r="AD632" s="5"/>
      <c r="AE632" s="6"/>
      <c r="AH632" s="6"/>
      <c r="AI632" s="6"/>
      <c r="AM632" s="5"/>
      <c r="AN632" s="6"/>
      <c r="AQ632" s="6"/>
      <c r="AR632" s="6"/>
    </row>
    <row r="633" spans="3:44" ht="13.2" x14ac:dyDescent="0.25">
      <c r="C633" s="5"/>
      <c r="D633" s="6"/>
      <c r="G633" s="6"/>
      <c r="H633" s="6"/>
      <c r="L633" s="5"/>
      <c r="M633" s="6"/>
      <c r="P633" s="6"/>
      <c r="Q633" s="6"/>
      <c r="U633" s="5"/>
      <c r="V633" s="6"/>
      <c r="Y633" s="6"/>
      <c r="Z633" s="6"/>
      <c r="AD633" s="5"/>
      <c r="AE633" s="6"/>
      <c r="AH633" s="6"/>
      <c r="AI633" s="6"/>
      <c r="AM633" s="5"/>
      <c r="AN633" s="6"/>
      <c r="AQ633" s="6"/>
      <c r="AR633" s="6"/>
    </row>
    <row r="634" spans="3:44" ht="13.2" x14ac:dyDescent="0.25">
      <c r="C634" s="5"/>
      <c r="D634" s="6"/>
      <c r="G634" s="6"/>
      <c r="H634" s="6"/>
      <c r="L634" s="5"/>
      <c r="M634" s="6"/>
      <c r="P634" s="6"/>
      <c r="Q634" s="6"/>
      <c r="U634" s="5"/>
      <c r="V634" s="6"/>
      <c r="Y634" s="6"/>
      <c r="Z634" s="6"/>
      <c r="AD634" s="5"/>
      <c r="AE634" s="6"/>
      <c r="AH634" s="6"/>
      <c r="AI634" s="6"/>
      <c r="AM634" s="5"/>
      <c r="AN634" s="6"/>
      <c r="AQ634" s="6"/>
      <c r="AR634" s="6"/>
    </row>
    <row r="635" spans="3:44" ht="13.2" x14ac:dyDescent="0.25">
      <c r="C635" s="5"/>
      <c r="D635" s="6"/>
      <c r="G635" s="6"/>
      <c r="H635" s="6"/>
      <c r="L635" s="5"/>
      <c r="M635" s="6"/>
      <c r="P635" s="6"/>
      <c r="Q635" s="6"/>
      <c r="U635" s="5"/>
      <c r="V635" s="6"/>
      <c r="Y635" s="6"/>
      <c r="Z635" s="6"/>
      <c r="AD635" s="5"/>
      <c r="AE635" s="6"/>
      <c r="AH635" s="6"/>
      <c r="AI635" s="6"/>
      <c r="AM635" s="5"/>
      <c r="AN635" s="6"/>
      <c r="AQ635" s="6"/>
      <c r="AR635" s="6"/>
    </row>
    <row r="636" spans="3:44" ht="13.2" x14ac:dyDescent="0.25">
      <c r="C636" s="5"/>
      <c r="D636" s="6"/>
      <c r="G636" s="6"/>
      <c r="H636" s="6"/>
      <c r="L636" s="5"/>
      <c r="M636" s="6"/>
      <c r="P636" s="6"/>
      <c r="Q636" s="6"/>
      <c r="U636" s="5"/>
      <c r="V636" s="6"/>
      <c r="Y636" s="6"/>
      <c r="Z636" s="6"/>
      <c r="AD636" s="5"/>
      <c r="AE636" s="6"/>
      <c r="AH636" s="6"/>
      <c r="AI636" s="6"/>
      <c r="AM636" s="5"/>
      <c r="AN636" s="6"/>
      <c r="AQ636" s="6"/>
      <c r="AR636" s="6"/>
    </row>
    <row r="637" spans="3:44" ht="13.2" x14ac:dyDescent="0.25">
      <c r="C637" s="5"/>
      <c r="D637" s="6"/>
      <c r="G637" s="6"/>
      <c r="H637" s="6"/>
      <c r="L637" s="5"/>
      <c r="M637" s="6"/>
      <c r="P637" s="6"/>
      <c r="Q637" s="6"/>
      <c r="U637" s="5"/>
      <c r="V637" s="6"/>
      <c r="Y637" s="6"/>
      <c r="Z637" s="6"/>
      <c r="AD637" s="5"/>
      <c r="AE637" s="6"/>
      <c r="AH637" s="6"/>
      <c r="AI637" s="6"/>
      <c r="AM637" s="5"/>
      <c r="AN637" s="6"/>
      <c r="AQ637" s="6"/>
      <c r="AR637" s="6"/>
    </row>
    <row r="638" spans="3:44" ht="13.2" x14ac:dyDescent="0.25">
      <c r="C638" s="5"/>
      <c r="D638" s="6"/>
      <c r="G638" s="6"/>
      <c r="H638" s="6"/>
      <c r="L638" s="5"/>
      <c r="M638" s="6"/>
      <c r="P638" s="6"/>
      <c r="Q638" s="6"/>
      <c r="U638" s="5"/>
      <c r="V638" s="6"/>
      <c r="Y638" s="6"/>
      <c r="Z638" s="6"/>
      <c r="AD638" s="5"/>
      <c r="AE638" s="6"/>
      <c r="AH638" s="6"/>
      <c r="AI638" s="6"/>
      <c r="AM638" s="5"/>
      <c r="AN638" s="6"/>
      <c r="AQ638" s="6"/>
      <c r="AR638" s="6"/>
    </row>
    <row r="639" spans="3:44" ht="13.2" x14ac:dyDescent="0.25">
      <c r="C639" s="5"/>
      <c r="D639" s="6"/>
      <c r="G639" s="6"/>
      <c r="H639" s="6"/>
      <c r="L639" s="5"/>
      <c r="M639" s="6"/>
      <c r="P639" s="6"/>
      <c r="Q639" s="6"/>
      <c r="U639" s="5"/>
      <c r="V639" s="6"/>
      <c r="Y639" s="6"/>
      <c r="Z639" s="6"/>
      <c r="AD639" s="5"/>
      <c r="AE639" s="6"/>
      <c r="AH639" s="6"/>
      <c r="AI639" s="6"/>
      <c r="AM639" s="5"/>
      <c r="AN639" s="6"/>
      <c r="AQ639" s="6"/>
      <c r="AR639" s="6"/>
    </row>
    <row r="640" spans="3:44" ht="13.2" x14ac:dyDescent="0.25">
      <c r="C640" s="5"/>
      <c r="D640" s="6"/>
      <c r="G640" s="6"/>
      <c r="H640" s="6"/>
      <c r="L640" s="5"/>
      <c r="M640" s="6"/>
      <c r="P640" s="6"/>
      <c r="Q640" s="6"/>
      <c r="U640" s="5"/>
      <c r="V640" s="6"/>
      <c r="Y640" s="6"/>
      <c r="Z640" s="6"/>
      <c r="AD640" s="5"/>
      <c r="AE640" s="6"/>
      <c r="AH640" s="6"/>
      <c r="AI640" s="6"/>
      <c r="AM640" s="5"/>
      <c r="AN640" s="6"/>
      <c r="AQ640" s="6"/>
      <c r="AR640" s="6"/>
    </row>
    <row r="641" spans="3:44" ht="13.2" x14ac:dyDescent="0.25">
      <c r="C641" s="5"/>
      <c r="D641" s="6"/>
      <c r="G641" s="6"/>
      <c r="H641" s="6"/>
      <c r="L641" s="5"/>
      <c r="M641" s="6"/>
      <c r="P641" s="6"/>
      <c r="Q641" s="6"/>
      <c r="U641" s="5"/>
      <c r="V641" s="6"/>
      <c r="Y641" s="6"/>
      <c r="Z641" s="6"/>
      <c r="AD641" s="5"/>
      <c r="AE641" s="6"/>
      <c r="AH641" s="6"/>
      <c r="AI641" s="6"/>
      <c r="AM641" s="5"/>
      <c r="AN641" s="6"/>
      <c r="AQ641" s="6"/>
      <c r="AR641" s="6"/>
    </row>
    <row r="642" spans="3:44" ht="13.2" x14ac:dyDescent="0.25">
      <c r="C642" s="5"/>
      <c r="D642" s="6"/>
      <c r="G642" s="6"/>
      <c r="H642" s="6"/>
      <c r="L642" s="5"/>
      <c r="M642" s="6"/>
      <c r="P642" s="6"/>
      <c r="Q642" s="6"/>
      <c r="U642" s="5"/>
      <c r="V642" s="6"/>
      <c r="Y642" s="6"/>
      <c r="Z642" s="6"/>
      <c r="AD642" s="5"/>
      <c r="AE642" s="6"/>
      <c r="AH642" s="6"/>
      <c r="AI642" s="6"/>
      <c r="AM642" s="5"/>
      <c r="AN642" s="6"/>
      <c r="AQ642" s="6"/>
      <c r="AR642" s="6"/>
    </row>
    <row r="643" spans="3:44" ht="13.2" x14ac:dyDescent="0.25">
      <c r="C643" s="5"/>
      <c r="D643" s="6"/>
      <c r="G643" s="6"/>
      <c r="H643" s="6"/>
      <c r="L643" s="5"/>
      <c r="M643" s="6"/>
      <c r="P643" s="6"/>
      <c r="Q643" s="6"/>
      <c r="U643" s="5"/>
      <c r="V643" s="6"/>
      <c r="Y643" s="6"/>
      <c r="Z643" s="6"/>
      <c r="AD643" s="5"/>
      <c r="AE643" s="6"/>
      <c r="AH643" s="6"/>
      <c r="AI643" s="6"/>
      <c r="AM643" s="5"/>
      <c r="AN643" s="6"/>
      <c r="AQ643" s="6"/>
      <c r="AR643" s="6"/>
    </row>
    <row r="644" spans="3:44" ht="13.2" x14ac:dyDescent="0.25">
      <c r="C644" s="5"/>
      <c r="D644" s="6"/>
      <c r="G644" s="6"/>
      <c r="H644" s="6"/>
      <c r="L644" s="5"/>
      <c r="M644" s="6"/>
      <c r="P644" s="6"/>
      <c r="Q644" s="6"/>
      <c r="U644" s="5"/>
      <c r="V644" s="6"/>
      <c r="Y644" s="6"/>
      <c r="Z644" s="6"/>
      <c r="AD644" s="5"/>
      <c r="AE644" s="6"/>
      <c r="AH644" s="6"/>
      <c r="AI644" s="6"/>
      <c r="AM644" s="5"/>
      <c r="AN644" s="6"/>
      <c r="AQ644" s="6"/>
      <c r="AR644" s="6"/>
    </row>
    <row r="645" spans="3:44" ht="13.2" x14ac:dyDescent="0.25">
      <c r="C645" s="5"/>
      <c r="D645" s="6"/>
      <c r="G645" s="6"/>
      <c r="H645" s="6"/>
      <c r="L645" s="5"/>
      <c r="M645" s="6"/>
      <c r="P645" s="6"/>
      <c r="Q645" s="6"/>
      <c r="U645" s="5"/>
      <c r="V645" s="6"/>
      <c r="Y645" s="6"/>
      <c r="Z645" s="6"/>
      <c r="AD645" s="5"/>
      <c r="AE645" s="6"/>
      <c r="AH645" s="6"/>
      <c r="AI645" s="6"/>
      <c r="AM645" s="5"/>
      <c r="AN645" s="6"/>
      <c r="AQ645" s="6"/>
      <c r="AR645" s="6"/>
    </row>
    <row r="646" spans="3:44" ht="13.2" x14ac:dyDescent="0.25">
      <c r="C646" s="5"/>
      <c r="D646" s="6"/>
      <c r="G646" s="6"/>
      <c r="H646" s="6"/>
      <c r="L646" s="5"/>
      <c r="M646" s="6"/>
      <c r="P646" s="6"/>
      <c r="Q646" s="6"/>
      <c r="U646" s="5"/>
      <c r="V646" s="6"/>
      <c r="Y646" s="6"/>
      <c r="Z646" s="6"/>
      <c r="AD646" s="5"/>
      <c r="AE646" s="6"/>
      <c r="AH646" s="6"/>
      <c r="AI646" s="6"/>
      <c r="AM646" s="5"/>
      <c r="AN646" s="6"/>
      <c r="AQ646" s="6"/>
      <c r="AR646" s="6"/>
    </row>
    <row r="647" spans="3:44" ht="13.2" x14ac:dyDescent="0.25">
      <c r="C647" s="5"/>
      <c r="D647" s="6"/>
      <c r="G647" s="6"/>
      <c r="H647" s="6"/>
      <c r="L647" s="5"/>
      <c r="M647" s="6"/>
      <c r="P647" s="6"/>
      <c r="Q647" s="6"/>
      <c r="U647" s="5"/>
      <c r="V647" s="6"/>
      <c r="Y647" s="6"/>
      <c r="Z647" s="6"/>
      <c r="AD647" s="5"/>
      <c r="AE647" s="6"/>
      <c r="AH647" s="6"/>
      <c r="AI647" s="6"/>
      <c r="AM647" s="5"/>
      <c r="AN647" s="6"/>
      <c r="AQ647" s="6"/>
      <c r="AR647" s="6"/>
    </row>
    <row r="648" spans="3:44" ht="13.2" x14ac:dyDescent="0.25">
      <c r="C648" s="5"/>
      <c r="D648" s="6"/>
      <c r="G648" s="6"/>
      <c r="H648" s="6"/>
      <c r="L648" s="5"/>
      <c r="M648" s="6"/>
      <c r="P648" s="6"/>
      <c r="Q648" s="6"/>
      <c r="U648" s="5"/>
      <c r="V648" s="6"/>
      <c r="Y648" s="6"/>
      <c r="Z648" s="6"/>
      <c r="AD648" s="5"/>
      <c r="AE648" s="6"/>
      <c r="AH648" s="6"/>
      <c r="AI648" s="6"/>
      <c r="AM648" s="5"/>
      <c r="AN648" s="6"/>
      <c r="AQ648" s="6"/>
      <c r="AR648" s="6"/>
    </row>
    <row r="649" spans="3:44" ht="13.2" x14ac:dyDescent="0.25">
      <c r="C649" s="5"/>
      <c r="D649" s="6"/>
      <c r="G649" s="6"/>
      <c r="H649" s="6"/>
      <c r="L649" s="5"/>
      <c r="M649" s="6"/>
      <c r="P649" s="6"/>
      <c r="Q649" s="6"/>
      <c r="U649" s="5"/>
      <c r="V649" s="6"/>
      <c r="Y649" s="6"/>
      <c r="Z649" s="6"/>
      <c r="AD649" s="5"/>
      <c r="AE649" s="6"/>
      <c r="AH649" s="6"/>
      <c r="AI649" s="6"/>
      <c r="AM649" s="5"/>
      <c r="AN649" s="6"/>
      <c r="AQ649" s="6"/>
      <c r="AR649" s="6"/>
    </row>
    <row r="650" spans="3:44" ht="13.2" x14ac:dyDescent="0.25">
      <c r="C650" s="5"/>
      <c r="D650" s="6"/>
      <c r="G650" s="6"/>
      <c r="H650" s="6"/>
      <c r="L650" s="5"/>
      <c r="M650" s="6"/>
      <c r="P650" s="6"/>
      <c r="Q650" s="6"/>
      <c r="U650" s="5"/>
      <c r="V650" s="6"/>
      <c r="Y650" s="6"/>
      <c r="Z650" s="6"/>
      <c r="AD650" s="5"/>
      <c r="AE650" s="6"/>
      <c r="AH650" s="6"/>
      <c r="AI650" s="6"/>
      <c r="AM650" s="5"/>
      <c r="AN650" s="6"/>
      <c r="AQ650" s="6"/>
      <c r="AR650" s="6"/>
    </row>
    <row r="651" spans="3:44" ht="13.2" x14ac:dyDescent="0.25">
      <c r="C651" s="5"/>
      <c r="D651" s="6"/>
      <c r="G651" s="6"/>
      <c r="H651" s="6"/>
      <c r="L651" s="5"/>
      <c r="M651" s="6"/>
      <c r="P651" s="6"/>
      <c r="Q651" s="6"/>
      <c r="U651" s="5"/>
      <c r="V651" s="6"/>
      <c r="Y651" s="6"/>
      <c r="Z651" s="6"/>
      <c r="AD651" s="5"/>
      <c r="AE651" s="6"/>
      <c r="AH651" s="6"/>
      <c r="AI651" s="6"/>
      <c r="AM651" s="5"/>
      <c r="AN651" s="6"/>
      <c r="AQ651" s="6"/>
      <c r="AR651" s="6"/>
    </row>
    <row r="652" spans="3:44" ht="13.2" x14ac:dyDescent="0.25">
      <c r="C652" s="5"/>
      <c r="D652" s="6"/>
      <c r="G652" s="6"/>
      <c r="H652" s="6"/>
      <c r="L652" s="5"/>
      <c r="M652" s="6"/>
      <c r="P652" s="6"/>
      <c r="Q652" s="6"/>
      <c r="U652" s="5"/>
      <c r="V652" s="6"/>
      <c r="Y652" s="6"/>
      <c r="Z652" s="6"/>
      <c r="AD652" s="5"/>
      <c r="AE652" s="6"/>
      <c r="AH652" s="6"/>
      <c r="AI652" s="6"/>
      <c r="AM652" s="5"/>
      <c r="AN652" s="6"/>
      <c r="AQ652" s="6"/>
      <c r="AR652" s="6"/>
    </row>
    <row r="653" spans="3:44" ht="13.2" x14ac:dyDescent="0.25">
      <c r="C653" s="5"/>
      <c r="D653" s="6"/>
      <c r="G653" s="6"/>
      <c r="H653" s="6"/>
      <c r="L653" s="5"/>
      <c r="M653" s="6"/>
      <c r="P653" s="6"/>
      <c r="Q653" s="6"/>
      <c r="U653" s="5"/>
      <c r="V653" s="6"/>
      <c r="Y653" s="6"/>
      <c r="Z653" s="6"/>
      <c r="AD653" s="5"/>
      <c r="AE653" s="6"/>
      <c r="AH653" s="6"/>
      <c r="AI653" s="6"/>
      <c r="AM653" s="5"/>
      <c r="AN653" s="6"/>
      <c r="AQ653" s="6"/>
      <c r="AR653" s="6"/>
    </row>
    <row r="654" spans="3:44" ht="13.2" x14ac:dyDescent="0.25">
      <c r="C654" s="5"/>
      <c r="D654" s="6"/>
      <c r="G654" s="6"/>
      <c r="H654" s="6"/>
      <c r="L654" s="5"/>
      <c r="M654" s="6"/>
      <c r="P654" s="6"/>
      <c r="Q654" s="6"/>
      <c r="U654" s="5"/>
      <c r="V654" s="6"/>
      <c r="Y654" s="6"/>
      <c r="Z654" s="6"/>
      <c r="AD654" s="5"/>
      <c r="AE654" s="6"/>
      <c r="AH654" s="6"/>
      <c r="AI654" s="6"/>
      <c r="AM654" s="5"/>
      <c r="AN654" s="6"/>
      <c r="AQ654" s="6"/>
      <c r="AR654" s="6"/>
    </row>
    <row r="655" spans="3:44" ht="13.2" x14ac:dyDescent="0.25">
      <c r="C655" s="5"/>
      <c r="D655" s="6"/>
      <c r="G655" s="6"/>
      <c r="H655" s="6"/>
      <c r="L655" s="5"/>
      <c r="M655" s="6"/>
      <c r="P655" s="6"/>
      <c r="Q655" s="6"/>
      <c r="U655" s="5"/>
      <c r="V655" s="6"/>
      <c r="Y655" s="6"/>
      <c r="Z655" s="6"/>
      <c r="AD655" s="5"/>
      <c r="AE655" s="6"/>
      <c r="AH655" s="6"/>
      <c r="AI655" s="6"/>
      <c r="AM655" s="5"/>
      <c r="AN655" s="6"/>
      <c r="AQ655" s="6"/>
      <c r="AR655" s="6"/>
    </row>
    <row r="656" spans="3:44" ht="13.2" x14ac:dyDescent="0.25">
      <c r="C656" s="5"/>
      <c r="D656" s="6"/>
      <c r="G656" s="6"/>
      <c r="H656" s="6"/>
      <c r="L656" s="5"/>
      <c r="M656" s="6"/>
      <c r="P656" s="6"/>
      <c r="Q656" s="6"/>
      <c r="U656" s="5"/>
      <c r="V656" s="6"/>
      <c r="Y656" s="6"/>
      <c r="Z656" s="6"/>
      <c r="AD656" s="5"/>
      <c r="AE656" s="6"/>
      <c r="AH656" s="6"/>
      <c r="AI656" s="6"/>
      <c r="AM656" s="5"/>
      <c r="AN656" s="6"/>
      <c r="AQ656" s="6"/>
      <c r="AR656" s="6"/>
    </row>
    <row r="657" spans="3:44" ht="13.2" x14ac:dyDescent="0.25">
      <c r="C657" s="5"/>
      <c r="D657" s="6"/>
      <c r="G657" s="6"/>
      <c r="H657" s="6"/>
      <c r="L657" s="5"/>
      <c r="M657" s="6"/>
      <c r="P657" s="6"/>
      <c r="Q657" s="6"/>
      <c r="U657" s="5"/>
      <c r="V657" s="6"/>
      <c r="Y657" s="6"/>
      <c r="Z657" s="6"/>
      <c r="AD657" s="5"/>
      <c r="AE657" s="6"/>
      <c r="AH657" s="6"/>
      <c r="AI657" s="6"/>
      <c r="AM657" s="5"/>
      <c r="AN657" s="6"/>
      <c r="AQ657" s="6"/>
      <c r="AR657" s="6"/>
    </row>
    <row r="658" spans="3:44" ht="13.2" x14ac:dyDescent="0.25">
      <c r="C658" s="5"/>
      <c r="D658" s="6"/>
      <c r="G658" s="6"/>
      <c r="H658" s="6"/>
      <c r="L658" s="5"/>
      <c r="M658" s="6"/>
      <c r="P658" s="6"/>
      <c r="Q658" s="6"/>
      <c r="U658" s="5"/>
      <c r="V658" s="6"/>
      <c r="Y658" s="6"/>
      <c r="Z658" s="6"/>
      <c r="AD658" s="5"/>
      <c r="AE658" s="6"/>
      <c r="AH658" s="6"/>
      <c r="AI658" s="6"/>
      <c r="AM658" s="5"/>
      <c r="AN658" s="6"/>
      <c r="AQ658" s="6"/>
      <c r="AR658" s="6"/>
    </row>
    <row r="659" spans="3:44" ht="13.2" x14ac:dyDescent="0.25">
      <c r="C659" s="5"/>
      <c r="D659" s="6"/>
      <c r="G659" s="6"/>
      <c r="H659" s="6"/>
      <c r="L659" s="5"/>
      <c r="M659" s="6"/>
      <c r="P659" s="6"/>
      <c r="Q659" s="6"/>
      <c r="U659" s="5"/>
      <c r="V659" s="6"/>
      <c r="Y659" s="6"/>
      <c r="Z659" s="6"/>
      <c r="AD659" s="5"/>
      <c r="AE659" s="6"/>
      <c r="AH659" s="6"/>
      <c r="AI659" s="6"/>
      <c r="AM659" s="5"/>
      <c r="AN659" s="6"/>
      <c r="AQ659" s="6"/>
      <c r="AR659" s="6"/>
    </row>
    <row r="660" spans="3:44" ht="13.2" x14ac:dyDescent="0.25">
      <c r="C660" s="5"/>
      <c r="D660" s="6"/>
      <c r="G660" s="6"/>
      <c r="H660" s="6"/>
      <c r="L660" s="5"/>
      <c r="M660" s="6"/>
      <c r="P660" s="6"/>
      <c r="Q660" s="6"/>
      <c r="U660" s="5"/>
      <c r="V660" s="6"/>
      <c r="Y660" s="6"/>
      <c r="Z660" s="6"/>
      <c r="AD660" s="5"/>
      <c r="AE660" s="6"/>
      <c r="AH660" s="6"/>
      <c r="AI660" s="6"/>
      <c r="AM660" s="5"/>
      <c r="AN660" s="6"/>
      <c r="AQ660" s="6"/>
      <c r="AR660" s="6"/>
    </row>
    <row r="661" spans="3:44" ht="13.2" x14ac:dyDescent="0.25">
      <c r="C661" s="5"/>
      <c r="D661" s="6"/>
      <c r="G661" s="6"/>
      <c r="H661" s="6"/>
      <c r="L661" s="5"/>
      <c r="M661" s="6"/>
      <c r="P661" s="6"/>
      <c r="Q661" s="6"/>
      <c r="U661" s="5"/>
      <c r="V661" s="6"/>
      <c r="Y661" s="6"/>
      <c r="Z661" s="6"/>
      <c r="AD661" s="5"/>
      <c r="AE661" s="6"/>
      <c r="AH661" s="6"/>
      <c r="AI661" s="6"/>
      <c r="AM661" s="5"/>
      <c r="AN661" s="6"/>
      <c r="AQ661" s="6"/>
      <c r="AR661" s="6"/>
    </row>
    <row r="662" spans="3:44" ht="13.2" x14ac:dyDescent="0.25">
      <c r="C662" s="5"/>
      <c r="D662" s="6"/>
      <c r="G662" s="6"/>
      <c r="H662" s="6"/>
      <c r="L662" s="5"/>
      <c r="M662" s="6"/>
      <c r="P662" s="6"/>
      <c r="Q662" s="6"/>
      <c r="U662" s="5"/>
      <c r="V662" s="6"/>
      <c r="Y662" s="6"/>
      <c r="Z662" s="6"/>
      <c r="AD662" s="5"/>
      <c r="AE662" s="6"/>
      <c r="AH662" s="6"/>
      <c r="AI662" s="6"/>
      <c r="AM662" s="5"/>
      <c r="AN662" s="6"/>
      <c r="AQ662" s="6"/>
      <c r="AR662" s="6"/>
    </row>
    <row r="663" spans="3:44" ht="13.2" x14ac:dyDescent="0.25">
      <c r="C663" s="5"/>
      <c r="D663" s="6"/>
      <c r="G663" s="6"/>
      <c r="H663" s="6"/>
      <c r="L663" s="5"/>
      <c r="M663" s="6"/>
      <c r="P663" s="6"/>
      <c r="Q663" s="6"/>
      <c r="U663" s="5"/>
      <c r="V663" s="6"/>
      <c r="Y663" s="6"/>
      <c r="Z663" s="6"/>
      <c r="AD663" s="5"/>
      <c r="AE663" s="6"/>
      <c r="AH663" s="6"/>
      <c r="AI663" s="6"/>
      <c r="AM663" s="5"/>
      <c r="AN663" s="6"/>
      <c r="AQ663" s="6"/>
      <c r="AR663" s="6"/>
    </row>
    <row r="664" spans="3:44" ht="13.2" x14ac:dyDescent="0.25">
      <c r="C664" s="5"/>
      <c r="D664" s="6"/>
      <c r="G664" s="6"/>
      <c r="H664" s="6"/>
      <c r="L664" s="5"/>
      <c r="M664" s="6"/>
      <c r="P664" s="6"/>
      <c r="Q664" s="6"/>
      <c r="U664" s="5"/>
      <c r="V664" s="6"/>
      <c r="Y664" s="6"/>
      <c r="Z664" s="6"/>
      <c r="AD664" s="5"/>
      <c r="AE664" s="6"/>
      <c r="AH664" s="6"/>
      <c r="AI664" s="6"/>
      <c r="AM664" s="5"/>
      <c r="AN664" s="6"/>
      <c r="AQ664" s="6"/>
      <c r="AR664" s="6"/>
    </row>
    <row r="665" spans="3:44" ht="13.2" x14ac:dyDescent="0.25">
      <c r="C665" s="5"/>
      <c r="D665" s="6"/>
      <c r="G665" s="6"/>
      <c r="H665" s="6"/>
      <c r="L665" s="5"/>
      <c r="M665" s="6"/>
      <c r="P665" s="6"/>
      <c r="Q665" s="6"/>
      <c r="U665" s="5"/>
      <c r="V665" s="6"/>
      <c r="Y665" s="6"/>
      <c r="Z665" s="6"/>
      <c r="AD665" s="5"/>
      <c r="AE665" s="6"/>
      <c r="AH665" s="6"/>
      <c r="AI665" s="6"/>
      <c r="AM665" s="5"/>
      <c r="AN665" s="6"/>
      <c r="AQ665" s="6"/>
      <c r="AR665" s="6"/>
    </row>
    <row r="666" spans="3:44" ht="13.2" x14ac:dyDescent="0.25">
      <c r="C666" s="5"/>
      <c r="D666" s="6"/>
      <c r="G666" s="6"/>
      <c r="H666" s="6"/>
      <c r="L666" s="5"/>
      <c r="M666" s="6"/>
      <c r="P666" s="6"/>
      <c r="Q666" s="6"/>
      <c r="U666" s="5"/>
      <c r="V666" s="6"/>
      <c r="Y666" s="6"/>
      <c r="Z666" s="6"/>
      <c r="AD666" s="5"/>
      <c r="AE666" s="6"/>
      <c r="AH666" s="6"/>
      <c r="AI666" s="6"/>
      <c r="AM666" s="5"/>
      <c r="AN666" s="6"/>
      <c r="AQ666" s="6"/>
      <c r="AR666" s="6"/>
    </row>
    <row r="667" spans="3:44" ht="13.2" x14ac:dyDescent="0.25">
      <c r="C667" s="5"/>
      <c r="D667" s="6"/>
      <c r="G667" s="6"/>
      <c r="H667" s="6"/>
      <c r="L667" s="5"/>
      <c r="M667" s="6"/>
      <c r="P667" s="6"/>
      <c r="Q667" s="6"/>
      <c r="U667" s="5"/>
      <c r="V667" s="6"/>
      <c r="Y667" s="6"/>
      <c r="Z667" s="6"/>
      <c r="AD667" s="5"/>
      <c r="AE667" s="6"/>
      <c r="AH667" s="6"/>
      <c r="AI667" s="6"/>
      <c r="AM667" s="5"/>
      <c r="AN667" s="6"/>
      <c r="AQ667" s="6"/>
      <c r="AR667" s="6"/>
    </row>
    <row r="668" spans="3:44" ht="13.2" x14ac:dyDescent="0.25">
      <c r="C668" s="5"/>
      <c r="D668" s="6"/>
      <c r="G668" s="6"/>
      <c r="H668" s="6"/>
      <c r="L668" s="5"/>
      <c r="M668" s="6"/>
      <c r="P668" s="6"/>
      <c r="Q668" s="6"/>
      <c r="U668" s="5"/>
      <c r="V668" s="6"/>
      <c r="Y668" s="6"/>
      <c r="Z668" s="6"/>
      <c r="AD668" s="5"/>
      <c r="AE668" s="6"/>
      <c r="AH668" s="6"/>
      <c r="AI668" s="6"/>
      <c r="AM668" s="5"/>
      <c r="AN668" s="6"/>
      <c r="AQ668" s="6"/>
      <c r="AR668" s="6"/>
    </row>
    <row r="669" spans="3:44" ht="13.2" x14ac:dyDescent="0.25">
      <c r="C669" s="5"/>
      <c r="D669" s="6"/>
      <c r="G669" s="6"/>
      <c r="H669" s="6"/>
      <c r="L669" s="5"/>
      <c r="M669" s="6"/>
      <c r="P669" s="6"/>
      <c r="Q669" s="6"/>
      <c r="U669" s="5"/>
      <c r="V669" s="6"/>
      <c r="Y669" s="6"/>
      <c r="Z669" s="6"/>
      <c r="AD669" s="5"/>
      <c r="AE669" s="6"/>
      <c r="AH669" s="6"/>
      <c r="AI669" s="6"/>
      <c r="AM669" s="5"/>
      <c r="AN669" s="6"/>
      <c r="AQ669" s="6"/>
      <c r="AR669" s="6"/>
    </row>
    <row r="670" spans="3:44" ht="13.2" x14ac:dyDescent="0.25">
      <c r="C670" s="5"/>
      <c r="D670" s="6"/>
      <c r="G670" s="6"/>
      <c r="H670" s="6"/>
      <c r="L670" s="5"/>
      <c r="M670" s="6"/>
      <c r="P670" s="6"/>
      <c r="Q670" s="6"/>
      <c r="U670" s="5"/>
      <c r="V670" s="6"/>
      <c r="Y670" s="6"/>
      <c r="Z670" s="6"/>
      <c r="AD670" s="5"/>
      <c r="AE670" s="6"/>
      <c r="AH670" s="6"/>
      <c r="AI670" s="6"/>
      <c r="AM670" s="5"/>
      <c r="AN670" s="6"/>
      <c r="AQ670" s="6"/>
      <c r="AR670" s="6"/>
    </row>
    <row r="671" spans="3:44" ht="13.2" x14ac:dyDescent="0.25">
      <c r="C671" s="5"/>
      <c r="D671" s="6"/>
      <c r="G671" s="6"/>
      <c r="H671" s="6"/>
      <c r="L671" s="5"/>
      <c r="M671" s="6"/>
      <c r="P671" s="6"/>
      <c r="Q671" s="6"/>
      <c r="U671" s="5"/>
      <c r="V671" s="6"/>
      <c r="Y671" s="6"/>
      <c r="Z671" s="6"/>
      <c r="AD671" s="5"/>
      <c r="AE671" s="6"/>
      <c r="AH671" s="6"/>
      <c r="AI671" s="6"/>
      <c r="AM671" s="5"/>
      <c r="AN671" s="6"/>
      <c r="AQ671" s="6"/>
      <c r="AR671" s="6"/>
    </row>
    <row r="672" spans="3:44" ht="13.2" x14ac:dyDescent="0.25">
      <c r="C672" s="5"/>
      <c r="D672" s="6"/>
      <c r="G672" s="6"/>
      <c r="H672" s="6"/>
      <c r="L672" s="5"/>
      <c r="M672" s="6"/>
      <c r="P672" s="6"/>
      <c r="Q672" s="6"/>
      <c r="U672" s="5"/>
      <c r="V672" s="6"/>
      <c r="Y672" s="6"/>
      <c r="Z672" s="6"/>
      <c r="AD672" s="5"/>
      <c r="AE672" s="6"/>
      <c r="AH672" s="6"/>
      <c r="AI672" s="6"/>
      <c r="AM672" s="5"/>
      <c r="AN672" s="6"/>
      <c r="AQ672" s="6"/>
      <c r="AR672" s="6"/>
    </row>
    <row r="673" spans="3:44" ht="13.2" x14ac:dyDescent="0.25">
      <c r="C673" s="5"/>
      <c r="D673" s="6"/>
      <c r="G673" s="6"/>
      <c r="H673" s="6"/>
      <c r="L673" s="5"/>
      <c r="M673" s="6"/>
      <c r="P673" s="6"/>
      <c r="Q673" s="6"/>
      <c r="U673" s="5"/>
      <c r="V673" s="6"/>
      <c r="Y673" s="6"/>
      <c r="Z673" s="6"/>
      <c r="AD673" s="5"/>
      <c r="AE673" s="6"/>
      <c r="AH673" s="6"/>
      <c r="AI673" s="6"/>
      <c r="AM673" s="5"/>
      <c r="AN673" s="6"/>
      <c r="AQ673" s="6"/>
      <c r="AR673" s="6"/>
    </row>
    <row r="674" spans="3:44" ht="13.2" x14ac:dyDescent="0.25">
      <c r="C674" s="5"/>
      <c r="D674" s="6"/>
      <c r="G674" s="6"/>
      <c r="H674" s="6"/>
      <c r="L674" s="5"/>
      <c r="M674" s="6"/>
      <c r="P674" s="6"/>
      <c r="Q674" s="6"/>
      <c r="U674" s="5"/>
      <c r="V674" s="6"/>
      <c r="Y674" s="6"/>
      <c r="Z674" s="6"/>
      <c r="AD674" s="5"/>
      <c r="AE674" s="6"/>
      <c r="AH674" s="6"/>
      <c r="AI674" s="6"/>
      <c r="AM674" s="5"/>
      <c r="AN674" s="6"/>
      <c r="AQ674" s="6"/>
      <c r="AR674" s="6"/>
    </row>
    <row r="675" spans="3:44" ht="13.2" x14ac:dyDescent="0.25">
      <c r="C675" s="5"/>
      <c r="D675" s="6"/>
      <c r="G675" s="6"/>
      <c r="H675" s="6"/>
      <c r="L675" s="5"/>
      <c r="M675" s="6"/>
      <c r="P675" s="6"/>
      <c r="Q675" s="6"/>
      <c r="U675" s="5"/>
      <c r="V675" s="6"/>
      <c r="Y675" s="6"/>
      <c r="Z675" s="6"/>
      <c r="AD675" s="5"/>
      <c r="AE675" s="6"/>
      <c r="AH675" s="6"/>
      <c r="AI675" s="6"/>
      <c r="AM675" s="5"/>
      <c r="AN675" s="6"/>
      <c r="AQ675" s="6"/>
      <c r="AR675" s="6"/>
    </row>
    <row r="676" spans="3:44" ht="13.2" x14ac:dyDescent="0.25">
      <c r="C676" s="5"/>
      <c r="D676" s="6"/>
      <c r="G676" s="6"/>
      <c r="H676" s="6"/>
      <c r="L676" s="5"/>
      <c r="M676" s="6"/>
      <c r="P676" s="6"/>
      <c r="Q676" s="6"/>
      <c r="U676" s="5"/>
      <c r="V676" s="6"/>
      <c r="Y676" s="6"/>
      <c r="Z676" s="6"/>
      <c r="AD676" s="5"/>
      <c r="AE676" s="6"/>
      <c r="AH676" s="6"/>
      <c r="AI676" s="6"/>
      <c r="AM676" s="5"/>
      <c r="AN676" s="6"/>
      <c r="AQ676" s="6"/>
      <c r="AR676" s="6"/>
    </row>
    <row r="677" spans="3:44" ht="13.2" x14ac:dyDescent="0.25">
      <c r="C677" s="5"/>
      <c r="D677" s="6"/>
      <c r="G677" s="6"/>
      <c r="H677" s="6"/>
      <c r="L677" s="5"/>
      <c r="M677" s="6"/>
      <c r="P677" s="6"/>
      <c r="Q677" s="6"/>
      <c r="U677" s="5"/>
      <c r="V677" s="6"/>
      <c r="Y677" s="6"/>
      <c r="Z677" s="6"/>
      <c r="AD677" s="5"/>
      <c r="AE677" s="6"/>
      <c r="AH677" s="6"/>
      <c r="AI677" s="6"/>
      <c r="AM677" s="5"/>
      <c r="AN677" s="6"/>
      <c r="AQ677" s="6"/>
      <c r="AR677" s="6"/>
    </row>
    <row r="678" spans="3:44" ht="13.2" x14ac:dyDescent="0.25">
      <c r="C678" s="5"/>
      <c r="D678" s="6"/>
      <c r="G678" s="6"/>
      <c r="H678" s="6"/>
      <c r="L678" s="5"/>
      <c r="M678" s="6"/>
      <c r="P678" s="6"/>
      <c r="Q678" s="6"/>
      <c r="U678" s="5"/>
      <c r="V678" s="6"/>
      <c r="Y678" s="6"/>
      <c r="Z678" s="6"/>
      <c r="AD678" s="5"/>
      <c r="AE678" s="6"/>
      <c r="AH678" s="6"/>
      <c r="AI678" s="6"/>
      <c r="AM678" s="5"/>
      <c r="AN678" s="6"/>
      <c r="AQ678" s="6"/>
      <c r="AR678" s="6"/>
    </row>
    <row r="679" spans="3:44" ht="13.2" x14ac:dyDescent="0.25">
      <c r="C679" s="5"/>
      <c r="D679" s="6"/>
      <c r="G679" s="6"/>
      <c r="H679" s="6"/>
      <c r="L679" s="5"/>
      <c r="M679" s="6"/>
      <c r="P679" s="6"/>
      <c r="Q679" s="6"/>
      <c r="U679" s="5"/>
      <c r="V679" s="6"/>
      <c r="Y679" s="6"/>
      <c r="Z679" s="6"/>
      <c r="AD679" s="5"/>
      <c r="AE679" s="6"/>
      <c r="AH679" s="6"/>
      <c r="AI679" s="6"/>
      <c r="AM679" s="5"/>
      <c r="AN679" s="6"/>
      <c r="AQ679" s="6"/>
      <c r="AR679" s="6"/>
    </row>
    <row r="680" spans="3:44" ht="13.2" x14ac:dyDescent="0.25">
      <c r="C680" s="5"/>
      <c r="D680" s="6"/>
      <c r="G680" s="6"/>
      <c r="H680" s="6"/>
      <c r="L680" s="5"/>
      <c r="M680" s="6"/>
      <c r="P680" s="6"/>
      <c r="Q680" s="6"/>
      <c r="U680" s="5"/>
      <c r="V680" s="6"/>
      <c r="Y680" s="6"/>
      <c r="Z680" s="6"/>
      <c r="AD680" s="5"/>
      <c r="AE680" s="6"/>
      <c r="AH680" s="6"/>
      <c r="AI680" s="6"/>
      <c r="AM680" s="5"/>
      <c r="AN680" s="6"/>
      <c r="AQ680" s="6"/>
      <c r="AR680" s="6"/>
    </row>
    <row r="681" spans="3:44" ht="13.2" x14ac:dyDescent="0.25">
      <c r="C681" s="5"/>
      <c r="D681" s="6"/>
      <c r="G681" s="6"/>
      <c r="H681" s="6"/>
      <c r="L681" s="5"/>
      <c r="M681" s="6"/>
      <c r="P681" s="6"/>
      <c r="Q681" s="6"/>
      <c r="U681" s="5"/>
      <c r="V681" s="6"/>
      <c r="Y681" s="6"/>
      <c r="Z681" s="6"/>
      <c r="AD681" s="5"/>
      <c r="AE681" s="6"/>
      <c r="AH681" s="6"/>
      <c r="AI681" s="6"/>
      <c r="AM681" s="5"/>
      <c r="AN681" s="6"/>
      <c r="AQ681" s="6"/>
      <c r="AR681" s="6"/>
    </row>
    <row r="682" spans="3:44" ht="13.2" x14ac:dyDescent="0.25">
      <c r="C682" s="5"/>
      <c r="D682" s="6"/>
      <c r="G682" s="6"/>
      <c r="H682" s="6"/>
      <c r="L682" s="5"/>
      <c r="M682" s="6"/>
      <c r="P682" s="6"/>
      <c r="Q682" s="6"/>
      <c r="U682" s="5"/>
      <c r="V682" s="6"/>
      <c r="Y682" s="6"/>
      <c r="Z682" s="6"/>
      <c r="AD682" s="5"/>
      <c r="AE682" s="6"/>
      <c r="AH682" s="6"/>
      <c r="AI682" s="6"/>
      <c r="AM682" s="5"/>
      <c r="AN682" s="6"/>
      <c r="AQ682" s="6"/>
      <c r="AR682" s="6"/>
    </row>
    <row r="683" spans="3:44" ht="13.2" x14ac:dyDescent="0.25">
      <c r="C683" s="5"/>
      <c r="D683" s="6"/>
      <c r="G683" s="6"/>
      <c r="H683" s="6"/>
      <c r="L683" s="5"/>
      <c r="M683" s="6"/>
      <c r="P683" s="6"/>
      <c r="Q683" s="6"/>
      <c r="U683" s="5"/>
      <c r="V683" s="6"/>
      <c r="Y683" s="6"/>
      <c r="Z683" s="6"/>
      <c r="AD683" s="5"/>
      <c r="AE683" s="6"/>
      <c r="AH683" s="6"/>
      <c r="AI683" s="6"/>
      <c r="AM683" s="5"/>
      <c r="AN683" s="6"/>
      <c r="AQ683" s="6"/>
      <c r="AR683" s="6"/>
    </row>
    <row r="684" spans="3:44" ht="13.2" x14ac:dyDescent="0.25">
      <c r="C684" s="5"/>
      <c r="D684" s="6"/>
      <c r="G684" s="6"/>
      <c r="H684" s="6"/>
      <c r="L684" s="5"/>
      <c r="M684" s="6"/>
      <c r="P684" s="6"/>
      <c r="Q684" s="6"/>
      <c r="U684" s="5"/>
      <c r="V684" s="6"/>
      <c r="Y684" s="6"/>
      <c r="Z684" s="6"/>
      <c r="AD684" s="5"/>
      <c r="AE684" s="6"/>
      <c r="AH684" s="6"/>
      <c r="AI684" s="6"/>
      <c r="AM684" s="5"/>
      <c r="AN684" s="6"/>
      <c r="AQ684" s="6"/>
      <c r="AR684" s="6"/>
    </row>
    <row r="685" spans="3:44" ht="13.2" x14ac:dyDescent="0.25">
      <c r="C685" s="5"/>
      <c r="D685" s="6"/>
      <c r="G685" s="6"/>
      <c r="H685" s="6"/>
      <c r="L685" s="5"/>
      <c r="M685" s="6"/>
      <c r="P685" s="6"/>
      <c r="Q685" s="6"/>
      <c r="U685" s="5"/>
      <c r="V685" s="6"/>
      <c r="Y685" s="6"/>
      <c r="Z685" s="6"/>
      <c r="AD685" s="5"/>
      <c r="AE685" s="6"/>
      <c r="AH685" s="6"/>
      <c r="AI685" s="6"/>
      <c r="AM685" s="5"/>
      <c r="AN685" s="6"/>
      <c r="AQ685" s="6"/>
      <c r="AR685" s="6"/>
    </row>
    <row r="686" spans="3:44" ht="13.2" x14ac:dyDescent="0.25">
      <c r="C686" s="5"/>
      <c r="D686" s="6"/>
      <c r="G686" s="6"/>
      <c r="H686" s="6"/>
      <c r="L686" s="5"/>
      <c r="M686" s="6"/>
      <c r="P686" s="6"/>
      <c r="Q686" s="6"/>
      <c r="U686" s="5"/>
      <c r="V686" s="6"/>
      <c r="Y686" s="6"/>
      <c r="Z686" s="6"/>
      <c r="AD686" s="5"/>
      <c r="AE686" s="6"/>
      <c r="AH686" s="6"/>
      <c r="AI686" s="6"/>
      <c r="AM686" s="5"/>
      <c r="AN686" s="6"/>
      <c r="AQ686" s="6"/>
      <c r="AR686" s="6"/>
    </row>
    <row r="687" spans="3:44" ht="13.2" x14ac:dyDescent="0.25">
      <c r="C687" s="5"/>
      <c r="D687" s="6"/>
      <c r="G687" s="6"/>
      <c r="H687" s="6"/>
      <c r="L687" s="5"/>
      <c r="M687" s="6"/>
      <c r="P687" s="6"/>
      <c r="Q687" s="6"/>
      <c r="U687" s="5"/>
      <c r="V687" s="6"/>
      <c r="Y687" s="6"/>
      <c r="Z687" s="6"/>
      <c r="AD687" s="5"/>
      <c r="AE687" s="6"/>
      <c r="AH687" s="6"/>
      <c r="AI687" s="6"/>
      <c r="AM687" s="5"/>
      <c r="AN687" s="6"/>
      <c r="AQ687" s="6"/>
      <c r="AR687" s="6"/>
    </row>
    <row r="688" spans="3:44" ht="13.2" x14ac:dyDescent="0.25">
      <c r="C688" s="5"/>
      <c r="D688" s="6"/>
      <c r="G688" s="6"/>
      <c r="H688" s="6"/>
      <c r="L688" s="5"/>
      <c r="M688" s="6"/>
      <c r="P688" s="6"/>
      <c r="Q688" s="6"/>
      <c r="U688" s="5"/>
      <c r="V688" s="6"/>
      <c r="Y688" s="6"/>
      <c r="Z688" s="6"/>
      <c r="AD688" s="5"/>
      <c r="AE688" s="6"/>
      <c r="AH688" s="6"/>
      <c r="AI688" s="6"/>
      <c r="AM688" s="5"/>
      <c r="AN688" s="6"/>
      <c r="AQ688" s="6"/>
      <c r="AR688" s="6"/>
    </row>
    <row r="689" spans="3:44" ht="13.2" x14ac:dyDescent="0.25">
      <c r="C689" s="5"/>
      <c r="D689" s="6"/>
      <c r="G689" s="6"/>
      <c r="H689" s="6"/>
      <c r="L689" s="5"/>
      <c r="M689" s="6"/>
      <c r="P689" s="6"/>
      <c r="Q689" s="6"/>
      <c r="U689" s="5"/>
      <c r="V689" s="6"/>
      <c r="Y689" s="6"/>
      <c r="Z689" s="6"/>
      <c r="AD689" s="5"/>
      <c r="AE689" s="6"/>
      <c r="AH689" s="6"/>
      <c r="AI689" s="6"/>
      <c r="AM689" s="5"/>
      <c r="AN689" s="6"/>
      <c r="AQ689" s="6"/>
      <c r="AR689" s="6"/>
    </row>
    <row r="690" spans="3:44" ht="13.2" x14ac:dyDescent="0.25">
      <c r="C690" s="5"/>
      <c r="D690" s="6"/>
      <c r="G690" s="6"/>
      <c r="H690" s="6"/>
      <c r="L690" s="5"/>
      <c r="M690" s="6"/>
      <c r="P690" s="6"/>
      <c r="Q690" s="6"/>
      <c r="U690" s="5"/>
      <c r="V690" s="6"/>
      <c r="Y690" s="6"/>
      <c r="Z690" s="6"/>
      <c r="AD690" s="5"/>
      <c r="AE690" s="6"/>
      <c r="AH690" s="6"/>
      <c r="AI690" s="6"/>
      <c r="AM690" s="5"/>
      <c r="AN690" s="6"/>
      <c r="AQ690" s="6"/>
      <c r="AR690" s="6"/>
    </row>
    <row r="691" spans="3:44" ht="13.2" x14ac:dyDescent="0.25">
      <c r="C691" s="5"/>
      <c r="D691" s="6"/>
      <c r="G691" s="6"/>
      <c r="H691" s="6"/>
      <c r="L691" s="5"/>
      <c r="M691" s="6"/>
      <c r="P691" s="6"/>
      <c r="Q691" s="6"/>
      <c r="U691" s="5"/>
      <c r="V691" s="6"/>
      <c r="Y691" s="6"/>
      <c r="Z691" s="6"/>
      <c r="AD691" s="5"/>
      <c r="AE691" s="6"/>
      <c r="AH691" s="6"/>
      <c r="AI691" s="6"/>
      <c r="AM691" s="5"/>
      <c r="AN691" s="6"/>
      <c r="AQ691" s="6"/>
      <c r="AR691" s="6"/>
    </row>
    <row r="692" spans="3:44" ht="13.2" x14ac:dyDescent="0.25">
      <c r="C692" s="5"/>
      <c r="D692" s="6"/>
      <c r="G692" s="6"/>
      <c r="H692" s="6"/>
      <c r="L692" s="5"/>
      <c r="M692" s="6"/>
      <c r="P692" s="6"/>
      <c r="Q692" s="6"/>
      <c r="U692" s="5"/>
      <c r="V692" s="6"/>
      <c r="Y692" s="6"/>
      <c r="Z692" s="6"/>
      <c r="AD692" s="5"/>
      <c r="AE692" s="6"/>
      <c r="AH692" s="6"/>
      <c r="AI692" s="6"/>
      <c r="AM692" s="5"/>
      <c r="AN692" s="6"/>
      <c r="AQ692" s="6"/>
      <c r="AR692" s="6"/>
    </row>
    <row r="693" spans="3:44" ht="13.2" x14ac:dyDescent="0.25">
      <c r="C693" s="5"/>
      <c r="D693" s="6"/>
      <c r="G693" s="6"/>
      <c r="H693" s="6"/>
      <c r="L693" s="5"/>
      <c r="M693" s="6"/>
      <c r="P693" s="6"/>
      <c r="Q693" s="6"/>
      <c r="U693" s="5"/>
      <c r="V693" s="6"/>
      <c r="Y693" s="6"/>
      <c r="Z693" s="6"/>
      <c r="AD693" s="5"/>
      <c r="AE693" s="6"/>
      <c r="AH693" s="6"/>
      <c r="AI693" s="6"/>
      <c r="AM693" s="5"/>
      <c r="AN693" s="6"/>
      <c r="AQ693" s="6"/>
      <c r="AR693" s="6"/>
    </row>
    <row r="694" spans="3:44" ht="13.2" x14ac:dyDescent="0.25">
      <c r="C694" s="5"/>
      <c r="D694" s="6"/>
      <c r="G694" s="6"/>
      <c r="H694" s="6"/>
      <c r="L694" s="5"/>
      <c r="M694" s="6"/>
      <c r="P694" s="6"/>
      <c r="Q694" s="6"/>
      <c r="U694" s="5"/>
      <c r="V694" s="6"/>
      <c r="Y694" s="6"/>
      <c r="Z694" s="6"/>
      <c r="AD694" s="5"/>
      <c r="AE694" s="6"/>
      <c r="AH694" s="6"/>
      <c r="AI694" s="6"/>
      <c r="AM694" s="5"/>
      <c r="AN694" s="6"/>
      <c r="AQ694" s="6"/>
      <c r="AR694" s="6"/>
    </row>
    <row r="695" spans="3:44" ht="13.2" x14ac:dyDescent="0.25">
      <c r="C695" s="5"/>
      <c r="D695" s="6"/>
      <c r="G695" s="6"/>
      <c r="H695" s="6"/>
      <c r="L695" s="5"/>
      <c r="M695" s="6"/>
      <c r="P695" s="6"/>
      <c r="Q695" s="6"/>
      <c r="U695" s="5"/>
      <c r="V695" s="6"/>
      <c r="Y695" s="6"/>
      <c r="Z695" s="6"/>
      <c r="AD695" s="5"/>
      <c r="AE695" s="6"/>
      <c r="AH695" s="6"/>
      <c r="AI695" s="6"/>
      <c r="AM695" s="5"/>
      <c r="AN695" s="6"/>
      <c r="AQ695" s="6"/>
      <c r="AR695" s="6"/>
    </row>
    <row r="696" spans="3:44" ht="13.2" x14ac:dyDescent="0.25">
      <c r="C696" s="5"/>
      <c r="D696" s="6"/>
      <c r="G696" s="6"/>
      <c r="H696" s="6"/>
      <c r="L696" s="5"/>
      <c r="M696" s="6"/>
      <c r="P696" s="6"/>
      <c r="Q696" s="6"/>
      <c r="U696" s="5"/>
      <c r="V696" s="6"/>
      <c r="Y696" s="6"/>
      <c r="Z696" s="6"/>
      <c r="AD696" s="5"/>
      <c r="AE696" s="6"/>
      <c r="AH696" s="6"/>
      <c r="AI696" s="6"/>
      <c r="AM696" s="5"/>
      <c r="AN696" s="6"/>
      <c r="AQ696" s="6"/>
      <c r="AR696" s="6"/>
    </row>
    <row r="697" spans="3:44" ht="13.2" x14ac:dyDescent="0.25">
      <c r="C697" s="5"/>
      <c r="D697" s="6"/>
      <c r="G697" s="6"/>
      <c r="H697" s="6"/>
      <c r="L697" s="5"/>
      <c r="M697" s="6"/>
      <c r="P697" s="6"/>
      <c r="Q697" s="6"/>
      <c r="U697" s="5"/>
      <c r="V697" s="6"/>
      <c r="Y697" s="6"/>
      <c r="Z697" s="6"/>
      <c r="AD697" s="5"/>
      <c r="AE697" s="6"/>
      <c r="AH697" s="6"/>
      <c r="AI697" s="6"/>
      <c r="AM697" s="5"/>
      <c r="AN697" s="6"/>
      <c r="AQ697" s="6"/>
      <c r="AR697" s="6"/>
    </row>
    <row r="698" spans="3:44" ht="13.2" x14ac:dyDescent="0.25">
      <c r="C698" s="5"/>
      <c r="D698" s="6"/>
      <c r="G698" s="6"/>
      <c r="H698" s="6"/>
      <c r="L698" s="5"/>
      <c r="M698" s="6"/>
      <c r="P698" s="6"/>
      <c r="Q698" s="6"/>
      <c r="U698" s="5"/>
      <c r="V698" s="6"/>
      <c r="Y698" s="6"/>
      <c r="Z698" s="6"/>
      <c r="AD698" s="5"/>
      <c r="AE698" s="6"/>
      <c r="AH698" s="6"/>
      <c r="AI698" s="6"/>
      <c r="AM698" s="5"/>
      <c r="AN698" s="6"/>
      <c r="AQ698" s="6"/>
      <c r="AR698" s="6"/>
    </row>
    <row r="699" spans="3:44" ht="13.2" x14ac:dyDescent="0.25">
      <c r="C699" s="5"/>
      <c r="D699" s="6"/>
      <c r="G699" s="6"/>
      <c r="H699" s="6"/>
      <c r="L699" s="5"/>
      <c r="M699" s="6"/>
      <c r="P699" s="6"/>
      <c r="Q699" s="6"/>
      <c r="U699" s="5"/>
      <c r="V699" s="6"/>
      <c r="Y699" s="6"/>
      <c r="Z699" s="6"/>
      <c r="AD699" s="5"/>
      <c r="AE699" s="6"/>
      <c r="AH699" s="6"/>
      <c r="AI699" s="6"/>
      <c r="AM699" s="5"/>
      <c r="AN699" s="6"/>
      <c r="AQ699" s="6"/>
      <c r="AR699" s="6"/>
    </row>
    <row r="700" spans="3:44" ht="13.2" x14ac:dyDescent="0.25">
      <c r="C700" s="5"/>
      <c r="D700" s="6"/>
      <c r="G700" s="6"/>
      <c r="H700" s="6"/>
      <c r="L700" s="5"/>
      <c r="M700" s="6"/>
      <c r="P700" s="6"/>
      <c r="Q700" s="6"/>
      <c r="U700" s="5"/>
      <c r="V700" s="6"/>
      <c r="Y700" s="6"/>
      <c r="Z700" s="6"/>
      <c r="AD700" s="5"/>
      <c r="AE700" s="6"/>
      <c r="AH700" s="6"/>
      <c r="AI700" s="6"/>
      <c r="AM700" s="5"/>
      <c r="AN700" s="6"/>
      <c r="AQ700" s="6"/>
      <c r="AR700" s="6"/>
    </row>
    <row r="701" spans="3:44" ht="13.2" x14ac:dyDescent="0.25">
      <c r="C701" s="5"/>
      <c r="D701" s="6"/>
      <c r="G701" s="6"/>
      <c r="H701" s="6"/>
      <c r="L701" s="5"/>
      <c r="M701" s="6"/>
      <c r="P701" s="6"/>
      <c r="Q701" s="6"/>
      <c r="U701" s="5"/>
      <c r="V701" s="6"/>
      <c r="Y701" s="6"/>
      <c r="Z701" s="6"/>
      <c r="AD701" s="5"/>
      <c r="AE701" s="6"/>
      <c r="AH701" s="6"/>
      <c r="AI701" s="6"/>
      <c r="AM701" s="5"/>
      <c r="AN701" s="6"/>
      <c r="AQ701" s="6"/>
      <c r="AR701" s="6"/>
    </row>
    <row r="702" spans="3:44" ht="13.2" x14ac:dyDescent="0.25">
      <c r="C702" s="5"/>
      <c r="D702" s="6"/>
      <c r="G702" s="6"/>
      <c r="H702" s="6"/>
      <c r="L702" s="5"/>
      <c r="M702" s="6"/>
      <c r="P702" s="6"/>
      <c r="Q702" s="6"/>
      <c r="U702" s="5"/>
      <c r="V702" s="6"/>
      <c r="Y702" s="6"/>
      <c r="Z702" s="6"/>
      <c r="AD702" s="5"/>
      <c r="AE702" s="6"/>
      <c r="AH702" s="6"/>
      <c r="AI702" s="6"/>
      <c r="AM702" s="5"/>
      <c r="AN702" s="6"/>
      <c r="AQ702" s="6"/>
      <c r="AR702" s="6"/>
    </row>
    <row r="703" spans="3:44" ht="13.2" x14ac:dyDescent="0.25">
      <c r="C703" s="5"/>
      <c r="D703" s="6"/>
      <c r="G703" s="6"/>
      <c r="H703" s="6"/>
      <c r="L703" s="5"/>
      <c r="M703" s="6"/>
      <c r="P703" s="6"/>
      <c r="Q703" s="6"/>
      <c r="U703" s="5"/>
      <c r="V703" s="6"/>
      <c r="Y703" s="6"/>
      <c r="Z703" s="6"/>
      <c r="AD703" s="5"/>
      <c r="AE703" s="6"/>
      <c r="AH703" s="6"/>
      <c r="AI703" s="6"/>
      <c r="AM703" s="5"/>
      <c r="AN703" s="6"/>
      <c r="AQ703" s="6"/>
      <c r="AR703" s="6"/>
    </row>
    <row r="704" spans="3:44" ht="13.2" x14ac:dyDescent="0.25">
      <c r="C704" s="5"/>
      <c r="D704" s="6"/>
      <c r="G704" s="6"/>
      <c r="H704" s="6"/>
      <c r="L704" s="5"/>
      <c r="M704" s="6"/>
      <c r="P704" s="6"/>
      <c r="Q704" s="6"/>
      <c r="U704" s="5"/>
      <c r="V704" s="6"/>
      <c r="Y704" s="6"/>
      <c r="Z704" s="6"/>
      <c r="AD704" s="5"/>
      <c r="AE704" s="6"/>
      <c r="AH704" s="6"/>
      <c r="AI704" s="6"/>
      <c r="AM704" s="5"/>
      <c r="AN704" s="6"/>
      <c r="AQ704" s="6"/>
      <c r="AR704" s="6"/>
    </row>
    <row r="705" spans="3:44" ht="13.2" x14ac:dyDescent="0.25">
      <c r="C705" s="5"/>
      <c r="D705" s="6"/>
      <c r="G705" s="6"/>
      <c r="H705" s="6"/>
      <c r="L705" s="5"/>
      <c r="M705" s="6"/>
      <c r="P705" s="6"/>
      <c r="Q705" s="6"/>
      <c r="U705" s="5"/>
      <c r="V705" s="6"/>
      <c r="Y705" s="6"/>
      <c r="Z705" s="6"/>
      <c r="AD705" s="5"/>
      <c r="AE705" s="6"/>
      <c r="AH705" s="6"/>
      <c r="AI705" s="6"/>
      <c r="AM705" s="5"/>
      <c r="AN705" s="6"/>
      <c r="AQ705" s="6"/>
      <c r="AR705" s="6"/>
    </row>
    <row r="706" spans="3:44" ht="13.2" x14ac:dyDescent="0.25">
      <c r="C706" s="5"/>
      <c r="D706" s="6"/>
      <c r="G706" s="6"/>
      <c r="H706" s="6"/>
      <c r="L706" s="5"/>
      <c r="M706" s="6"/>
      <c r="P706" s="6"/>
      <c r="Q706" s="6"/>
      <c r="U706" s="5"/>
      <c r="V706" s="6"/>
      <c r="Y706" s="6"/>
      <c r="Z706" s="6"/>
      <c r="AD706" s="5"/>
      <c r="AE706" s="6"/>
      <c r="AH706" s="6"/>
      <c r="AI706" s="6"/>
      <c r="AM706" s="5"/>
      <c r="AN706" s="6"/>
      <c r="AQ706" s="6"/>
      <c r="AR706" s="6"/>
    </row>
    <row r="707" spans="3:44" ht="13.2" x14ac:dyDescent="0.25">
      <c r="C707" s="5"/>
      <c r="D707" s="6"/>
      <c r="G707" s="6"/>
      <c r="H707" s="6"/>
      <c r="L707" s="5"/>
      <c r="M707" s="6"/>
      <c r="P707" s="6"/>
      <c r="Q707" s="6"/>
      <c r="U707" s="5"/>
      <c r="V707" s="6"/>
      <c r="Y707" s="6"/>
      <c r="Z707" s="6"/>
      <c r="AD707" s="5"/>
      <c r="AE707" s="6"/>
      <c r="AH707" s="6"/>
      <c r="AI707" s="6"/>
      <c r="AM707" s="5"/>
      <c r="AN707" s="6"/>
      <c r="AQ707" s="6"/>
      <c r="AR707" s="6"/>
    </row>
    <row r="708" spans="3:44" ht="13.2" x14ac:dyDescent="0.25">
      <c r="C708" s="5"/>
      <c r="D708" s="6"/>
      <c r="G708" s="6"/>
      <c r="H708" s="6"/>
      <c r="L708" s="5"/>
      <c r="M708" s="6"/>
      <c r="P708" s="6"/>
      <c r="Q708" s="6"/>
      <c r="U708" s="5"/>
      <c r="V708" s="6"/>
      <c r="Y708" s="6"/>
      <c r="Z708" s="6"/>
      <c r="AD708" s="5"/>
      <c r="AE708" s="6"/>
      <c r="AH708" s="6"/>
      <c r="AI708" s="6"/>
      <c r="AM708" s="5"/>
      <c r="AN708" s="6"/>
      <c r="AQ708" s="6"/>
      <c r="AR708" s="6"/>
    </row>
    <row r="709" spans="3:44" ht="13.2" x14ac:dyDescent="0.25">
      <c r="C709" s="5"/>
      <c r="D709" s="6"/>
      <c r="G709" s="6"/>
      <c r="H709" s="6"/>
      <c r="L709" s="5"/>
      <c r="M709" s="6"/>
      <c r="P709" s="6"/>
      <c r="Q709" s="6"/>
      <c r="U709" s="5"/>
      <c r="V709" s="6"/>
      <c r="Y709" s="6"/>
      <c r="Z709" s="6"/>
      <c r="AD709" s="5"/>
      <c r="AE709" s="6"/>
      <c r="AH709" s="6"/>
      <c r="AI709" s="6"/>
      <c r="AM709" s="5"/>
      <c r="AN709" s="6"/>
      <c r="AQ709" s="6"/>
      <c r="AR709" s="6"/>
    </row>
    <row r="710" spans="3:44" ht="13.2" x14ac:dyDescent="0.25">
      <c r="C710" s="5"/>
      <c r="D710" s="6"/>
      <c r="G710" s="6"/>
      <c r="H710" s="6"/>
      <c r="L710" s="5"/>
      <c r="M710" s="6"/>
      <c r="P710" s="6"/>
      <c r="Q710" s="6"/>
      <c r="U710" s="5"/>
      <c r="V710" s="6"/>
      <c r="Y710" s="6"/>
      <c r="Z710" s="6"/>
      <c r="AD710" s="5"/>
      <c r="AE710" s="6"/>
      <c r="AH710" s="6"/>
      <c r="AI710" s="6"/>
      <c r="AM710" s="5"/>
      <c r="AN710" s="6"/>
      <c r="AQ710" s="6"/>
      <c r="AR710" s="6"/>
    </row>
    <row r="711" spans="3:44" ht="13.2" x14ac:dyDescent="0.25">
      <c r="C711" s="5"/>
      <c r="D711" s="6"/>
      <c r="G711" s="6"/>
      <c r="H711" s="6"/>
      <c r="L711" s="5"/>
      <c r="M711" s="6"/>
      <c r="P711" s="6"/>
      <c r="Q711" s="6"/>
      <c r="U711" s="5"/>
      <c r="V711" s="6"/>
      <c r="Y711" s="6"/>
      <c r="Z711" s="6"/>
      <c r="AD711" s="5"/>
      <c r="AE711" s="6"/>
      <c r="AH711" s="6"/>
      <c r="AI711" s="6"/>
      <c r="AM711" s="5"/>
      <c r="AN711" s="6"/>
      <c r="AQ711" s="6"/>
      <c r="AR711" s="6"/>
    </row>
    <row r="712" spans="3:44" ht="13.2" x14ac:dyDescent="0.25">
      <c r="C712" s="5"/>
      <c r="D712" s="6"/>
      <c r="G712" s="6"/>
      <c r="H712" s="6"/>
      <c r="L712" s="5"/>
      <c r="M712" s="6"/>
      <c r="P712" s="6"/>
      <c r="Q712" s="6"/>
      <c r="U712" s="5"/>
      <c r="V712" s="6"/>
      <c r="Y712" s="6"/>
      <c r="Z712" s="6"/>
      <c r="AD712" s="5"/>
      <c r="AE712" s="6"/>
      <c r="AH712" s="6"/>
      <c r="AI712" s="6"/>
      <c r="AM712" s="5"/>
      <c r="AN712" s="6"/>
      <c r="AQ712" s="6"/>
      <c r="AR712" s="6"/>
    </row>
    <row r="713" spans="3:44" ht="13.2" x14ac:dyDescent="0.25">
      <c r="C713" s="5"/>
      <c r="D713" s="6"/>
      <c r="G713" s="6"/>
      <c r="H713" s="6"/>
      <c r="L713" s="5"/>
      <c r="M713" s="6"/>
      <c r="P713" s="6"/>
      <c r="Q713" s="6"/>
      <c r="U713" s="5"/>
      <c r="V713" s="6"/>
      <c r="Y713" s="6"/>
      <c r="Z713" s="6"/>
      <c r="AD713" s="5"/>
      <c r="AE713" s="6"/>
      <c r="AH713" s="6"/>
      <c r="AI713" s="6"/>
      <c r="AM713" s="5"/>
      <c r="AN713" s="6"/>
      <c r="AQ713" s="6"/>
      <c r="AR713" s="6"/>
    </row>
    <row r="714" spans="3:44" ht="13.2" x14ac:dyDescent="0.25">
      <c r="C714" s="5"/>
      <c r="D714" s="6"/>
      <c r="G714" s="6"/>
      <c r="H714" s="6"/>
      <c r="L714" s="5"/>
      <c r="M714" s="6"/>
      <c r="P714" s="6"/>
      <c r="Q714" s="6"/>
      <c r="U714" s="5"/>
      <c r="V714" s="6"/>
      <c r="Y714" s="6"/>
      <c r="Z714" s="6"/>
      <c r="AD714" s="5"/>
      <c r="AE714" s="6"/>
      <c r="AH714" s="6"/>
      <c r="AI714" s="6"/>
      <c r="AM714" s="5"/>
      <c r="AN714" s="6"/>
      <c r="AQ714" s="6"/>
      <c r="AR714" s="6"/>
    </row>
    <row r="715" spans="3:44" ht="13.2" x14ac:dyDescent="0.25">
      <c r="C715" s="5"/>
      <c r="D715" s="6"/>
      <c r="G715" s="6"/>
      <c r="H715" s="6"/>
      <c r="L715" s="5"/>
      <c r="M715" s="6"/>
      <c r="P715" s="6"/>
      <c r="Q715" s="6"/>
      <c r="U715" s="5"/>
      <c r="V715" s="6"/>
      <c r="Y715" s="6"/>
      <c r="Z715" s="6"/>
      <c r="AD715" s="5"/>
      <c r="AE715" s="6"/>
      <c r="AH715" s="6"/>
      <c r="AI715" s="6"/>
      <c r="AM715" s="5"/>
      <c r="AN715" s="6"/>
      <c r="AQ715" s="6"/>
      <c r="AR715" s="6"/>
    </row>
    <row r="716" spans="3:44" ht="13.2" x14ac:dyDescent="0.25">
      <c r="C716" s="5"/>
      <c r="D716" s="6"/>
      <c r="G716" s="6"/>
      <c r="H716" s="6"/>
      <c r="L716" s="5"/>
      <c r="M716" s="6"/>
      <c r="P716" s="6"/>
      <c r="Q716" s="6"/>
      <c r="U716" s="5"/>
      <c r="V716" s="6"/>
      <c r="Y716" s="6"/>
      <c r="Z716" s="6"/>
      <c r="AD716" s="5"/>
      <c r="AE716" s="6"/>
      <c r="AH716" s="6"/>
      <c r="AI716" s="6"/>
      <c r="AM716" s="5"/>
      <c r="AN716" s="6"/>
      <c r="AQ716" s="6"/>
      <c r="AR716" s="6"/>
    </row>
    <row r="717" spans="3:44" ht="13.2" x14ac:dyDescent="0.25">
      <c r="C717" s="5"/>
      <c r="D717" s="6"/>
      <c r="G717" s="6"/>
      <c r="H717" s="6"/>
      <c r="L717" s="5"/>
      <c r="M717" s="6"/>
      <c r="P717" s="6"/>
      <c r="Q717" s="6"/>
      <c r="U717" s="5"/>
      <c r="V717" s="6"/>
      <c r="Y717" s="6"/>
      <c r="Z717" s="6"/>
      <c r="AD717" s="5"/>
      <c r="AE717" s="6"/>
      <c r="AH717" s="6"/>
      <c r="AI717" s="6"/>
      <c r="AM717" s="5"/>
      <c r="AN717" s="6"/>
      <c r="AQ717" s="6"/>
      <c r="AR717" s="6"/>
    </row>
    <row r="718" spans="3:44" ht="13.2" x14ac:dyDescent="0.25">
      <c r="C718" s="5"/>
      <c r="D718" s="6"/>
      <c r="G718" s="6"/>
      <c r="H718" s="6"/>
      <c r="L718" s="5"/>
      <c r="M718" s="6"/>
      <c r="P718" s="6"/>
      <c r="Q718" s="6"/>
      <c r="U718" s="5"/>
      <c r="V718" s="6"/>
      <c r="Y718" s="6"/>
      <c r="Z718" s="6"/>
      <c r="AD718" s="5"/>
      <c r="AE718" s="6"/>
      <c r="AH718" s="6"/>
      <c r="AI718" s="6"/>
      <c r="AM718" s="5"/>
      <c r="AN718" s="6"/>
      <c r="AQ718" s="6"/>
      <c r="AR718" s="6"/>
    </row>
    <row r="719" spans="3:44" ht="13.2" x14ac:dyDescent="0.25">
      <c r="C719" s="5"/>
      <c r="D719" s="6"/>
      <c r="G719" s="6"/>
      <c r="H719" s="6"/>
      <c r="L719" s="5"/>
      <c r="M719" s="6"/>
      <c r="P719" s="6"/>
      <c r="Q719" s="6"/>
      <c r="U719" s="5"/>
      <c r="V719" s="6"/>
      <c r="Y719" s="6"/>
      <c r="Z719" s="6"/>
      <c r="AD719" s="5"/>
      <c r="AE719" s="6"/>
      <c r="AH719" s="6"/>
      <c r="AI719" s="6"/>
      <c r="AM719" s="5"/>
      <c r="AN719" s="6"/>
      <c r="AQ719" s="6"/>
      <c r="AR719" s="6"/>
    </row>
    <row r="720" spans="3:44" ht="13.2" x14ac:dyDescent="0.25">
      <c r="C720" s="5"/>
      <c r="D720" s="6"/>
      <c r="G720" s="6"/>
      <c r="H720" s="6"/>
      <c r="L720" s="5"/>
      <c r="M720" s="6"/>
      <c r="P720" s="6"/>
      <c r="Q720" s="6"/>
      <c r="U720" s="5"/>
      <c r="V720" s="6"/>
      <c r="Y720" s="6"/>
      <c r="Z720" s="6"/>
      <c r="AD720" s="5"/>
      <c r="AE720" s="6"/>
      <c r="AH720" s="6"/>
      <c r="AI720" s="6"/>
      <c r="AM720" s="5"/>
      <c r="AN720" s="6"/>
      <c r="AQ720" s="6"/>
      <c r="AR720" s="6"/>
    </row>
    <row r="721" spans="3:44" ht="13.2" x14ac:dyDescent="0.25">
      <c r="C721" s="5"/>
      <c r="D721" s="6"/>
      <c r="G721" s="6"/>
      <c r="H721" s="6"/>
      <c r="L721" s="5"/>
      <c r="M721" s="6"/>
      <c r="P721" s="6"/>
      <c r="Q721" s="6"/>
      <c r="U721" s="5"/>
      <c r="V721" s="6"/>
      <c r="Y721" s="6"/>
      <c r="Z721" s="6"/>
      <c r="AD721" s="5"/>
      <c r="AE721" s="6"/>
      <c r="AH721" s="6"/>
      <c r="AI721" s="6"/>
      <c r="AM721" s="5"/>
      <c r="AN721" s="6"/>
      <c r="AQ721" s="6"/>
      <c r="AR721" s="6"/>
    </row>
    <row r="722" spans="3:44" ht="13.2" x14ac:dyDescent="0.25">
      <c r="C722" s="5"/>
      <c r="D722" s="6"/>
      <c r="G722" s="6"/>
      <c r="H722" s="6"/>
      <c r="L722" s="5"/>
      <c r="M722" s="6"/>
      <c r="P722" s="6"/>
      <c r="Q722" s="6"/>
      <c r="U722" s="5"/>
      <c r="V722" s="6"/>
      <c r="Y722" s="6"/>
      <c r="Z722" s="6"/>
      <c r="AD722" s="5"/>
      <c r="AE722" s="6"/>
      <c r="AH722" s="6"/>
      <c r="AI722" s="6"/>
      <c r="AM722" s="5"/>
      <c r="AN722" s="6"/>
      <c r="AQ722" s="6"/>
      <c r="AR722" s="6"/>
    </row>
    <row r="723" spans="3:44" ht="13.2" x14ac:dyDescent="0.25">
      <c r="C723" s="5"/>
      <c r="D723" s="6"/>
      <c r="G723" s="6"/>
      <c r="H723" s="6"/>
      <c r="L723" s="5"/>
      <c r="M723" s="6"/>
      <c r="P723" s="6"/>
      <c r="Q723" s="6"/>
      <c r="U723" s="5"/>
      <c r="V723" s="6"/>
      <c r="Y723" s="6"/>
      <c r="Z723" s="6"/>
      <c r="AD723" s="5"/>
      <c r="AE723" s="6"/>
      <c r="AH723" s="6"/>
      <c r="AI723" s="6"/>
      <c r="AM723" s="5"/>
      <c r="AN723" s="6"/>
      <c r="AQ723" s="6"/>
      <c r="AR723" s="6"/>
    </row>
    <row r="724" spans="3:44" ht="13.2" x14ac:dyDescent="0.25">
      <c r="C724" s="5"/>
      <c r="D724" s="6"/>
      <c r="G724" s="6"/>
      <c r="H724" s="6"/>
      <c r="L724" s="5"/>
      <c r="M724" s="6"/>
      <c r="P724" s="6"/>
      <c r="Q724" s="6"/>
      <c r="U724" s="5"/>
      <c r="V724" s="6"/>
      <c r="Y724" s="6"/>
      <c r="Z724" s="6"/>
      <c r="AD724" s="5"/>
      <c r="AE724" s="6"/>
      <c r="AH724" s="6"/>
      <c r="AI724" s="6"/>
      <c r="AM724" s="5"/>
      <c r="AN724" s="6"/>
      <c r="AQ724" s="6"/>
      <c r="AR724" s="6"/>
    </row>
    <row r="725" spans="3:44" ht="13.2" x14ac:dyDescent="0.25">
      <c r="C725" s="5"/>
      <c r="D725" s="6"/>
      <c r="G725" s="6"/>
      <c r="H725" s="6"/>
      <c r="L725" s="5"/>
      <c r="M725" s="6"/>
      <c r="P725" s="6"/>
      <c r="Q725" s="6"/>
      <c r="U725" s="5"/>
      <c r="V725" s="6"/>
      <c r="Y725" s="6"/>
      <c r="Z725" s="6"/>
      <c r="AD725" s="5"/>
      <c r="AE725" s="6"/>
      <c r="AH725" s="6"/>
      <c r="AI725" s="6"/>
      <c r="AM725" s="5"/>
      <c r="AN725" s="6"/>
      <c r="AQ725" s="6"/>
      <c r="AR725" s="6"/>
    </row>
    <row r="726" spans="3:44" ht="13.2" x14ac:dyDescent="0.25">
      <c r="C726" s="5"/>
      <c r="D726" s="6"/>
      <c r="G726" s="6"/>
      <c r="H726" s="6"/>
      <c r="L726" s="5"/>
      <c r="M726" s="6"/>
      <c r="P726" s="6"/>
      <c r="Q726" s="6"/>
      <c r="U726" s="5"/>
      <c r="V726" s="6"/>
      <c r="Y726" s="6"/>
      <c r="Z726" s="6"/>
      <c r="AD726" s="5"/>
      <c r="AE726" s="6"/>
      <c r="AH726" s="6"/>
      <c r="AI726" s="6"/>
      <c r="AM726" s="5"/>
      <c r="AN726" s="6"/>
      <c r="AQ726" s="6"/>
      <c r="AR726" s="6"/>
    </row>
    <row r="727" spans="3:44" ht="13.2" x14ac:dyDescent="0.25">
      <c r="C727" s="5"/>
      <c r="D727" s="6"/>
      <c r="G727" s="6"/>
      <c r="H727" s="6"/>
      <c r="L727" s="5"/>
      <c r="M727" s="6"/>
      <c r="P727" s="6"/>
      <c r="Q727" s="6"/>
      <c r="U727" s="5"/>
      <c r="V727" s="6"/>
      <c r="Y727" s="6"/>
      <c r="Z727" s="6"/>
      <c r="AD727" s="5"/>
      <c r="AE727" s="6"/>
      <c r="AH727" s="6"/>
      <c r="AI727" s="6"/>
      <c r="AM727" s="5"/>
      <c r="AN727" s="6"/>
      <c r="AQ727" s="6"/>
      <c r="AR727" s="6"/>
    </row>
    <row r="728" spans="3:44" ht="13.2" x14ac:dyDescent="0.25">
      <c r="C728" s="5"/>
      <c r="D728" s="6"/>
      <c r="G728" s="6"/>
      <c r="H728" s="6"/>
      <c r="L728" s="5"/>
      <c r="M728" s="6"/>
      <c r="P728" s="6"/>
      <c r="Q728" s="6"/>
      <c r="U728" s="5"/>
      <c r="V728" s="6"/>
      <c r="Y728" s="6"/>
      <c r="Z728" s="6"/>
      <c r="AD728" s="5"/>
      <c r="AE728" s="6"/>
      <c r="AH728" s="6"/>
      <c r="AI728" s="6"/>
      <c r="AM728" s="5"/>
      <c r="AN728" s="6"/>
      <c r="AQ728" s="6"/>
      <c r="AR728" s="6"/>
    </row>
    <row r="729" spans="3:44" ht="13.2" x14ac:dyDescent="0.25">
      <c r="C729" s="5"/>
      <c r="D729" s="6"/>
      <c r="G729" s="6"/>
      <c r="H729" s="6"/>
      <c r="L729" s="5"/>
      <c r="M729" s="6"/>
      <c r="P729" s="6"/>
      <c r="Q729" s="6"/>
      <c r="U729" s="5"/>
      <c r="V729" s="6"/>
      <c r="Y729" s="6"/>
      <c r="Z729" s="6"/>
      <c r="AD729" s="5"/>
      <c r="AE729" s="6"/>
      <c r="AH729" s="6"/>
      <c r="AI729" s="6"/>
      <c r="AM729" s="5"/>
      <c r="AN729" s="6"/>
      <c r="AQ729" s="6"/>
      <c r="AR729" s="6"/>
    </row>
    <row r="730" spans="3:44" ht="13.2" x14ac:dyDescent="0.25">
      <c r="C730" s="5"/>
      <c r="D730" s="6"/>
      <c r="G730" s="6"/>
      <c r="H730" s="6"/>
      <c r="L730" s="5"/>
      <c r="M730" s="6"/>
      <c r="P730" s="6"/>
      <c r="Q730" s="6"/>
      <c r="U730" s="5"/>
      <c r="V730" s="6"/>
      <c r="Y730" s="6"/>
      <c r="Z730" s="6"/>
      <c r="AD730" s="5"/>
      <c r="AE730" s="6"/>
      <c r="AH730" s="6"/>
      <c r="AI730" s="6"/>
      <c r="AM730" s="5"/>
      <c r="AN730" s="6"/>
      <c r="AQ730" s="6"/>
      <c r="AR730" s="6"/>
    </row>
    <row r="731" spans="3:44" ht="13.2" x14ac:dyDescent="0.25">
      <c r="C731" s="5"/>
      <c r="D731" s="6"/>
      <c r="G731" s="6"/>
      <c r="H731" s="6"/>
      <c r="L731" s="5"/>
      <c r="M731" s="6"/>
      <c r="P731" s="6"/>
      <c r="Q731" s="6"/>
      <c r="U731" s="5"/>
      <c r="V731" s="6"/>
      <c r="Y731" s="6"/>
      <c r="Z731" s="6"/>
      <c r="AD731" s="5"/>
      <c r="AE731" s="6"/>
      <c r="AH731" s="6"/>
      <c r="AI731" s="6"/>
      <c r="AM731" s="5"/>
      <c r="AN731" s="6"/>
      <c r="AQ731" s="6"/>
      <c r="AR731" s="6"/>
    </row>
    <row r="732" spans="3:44" ht="13.2" x14ac:dyDescent="0.25">
      <c r="C732" s="5"/>
      <c r="D732" s="6"/>
      <c r="G732" s="6"/>
      <c r="H732" s="6"/>
      <c r="L732" s="5"/>
      <c r="M732" s="6"/>
      <c r="P732" s="6"/>
      <c r="Q732" s="6"/>
      <c r="U732" s="5"/>
      <c r="V732" s="6"/>
      <c r="Y732" s="6"/>
      <c r="Z732" s="6"/>
      <c r="AD732" s="5"/>
      <c r="AE732" s="6"/>
      <c r="AH732" s="6"/>
      <c r="AI732" s="6"/>
      <c r="AM732" s="5"/>
      <c r="AN732" s="6"/>
      <c r="AQ732" s="6"/>
      <c r="AR732" s="6"/>
    </row>
    <row r="733" spans="3:44" ht="13.2" x14ac:dyDescent="0.25">
      <c r="C733" s="5"/>
      <c r="D733" s="6"/>
      <c r="G733" s="6"/>
      <c r="H733" s="6"/>
      <c r="L733" s="5"/>
      <c r="M733" s="6"/>
      <c r="P733" s="6"/>
      <c r="Q733" s="6"/>
      <c r="U733" s="5"/>
      <c r="V733" s="6"/>
      <c r="Y733" s="6"/>
      <c r="Z733" s="6"/>
      <c r="AD733" s="5"/>
      <c r="AE733" s="6"/>
      <c r="AH733" s="6"/>
      <c r="AI733" s="6"/>
      <c r="AM733" s="5"/>
      <c r="AN733" s="6"/>
      <c r="AQ733" s="6"/>
      <c r="AR733" s="6"/>
    </row>
    <row r="734" spans="3:44" ht="13.2" x14ac:dyDescent="0.25">
      <c r="C734" s="5"/>
      <c r="D734" s="6"/>
      <c r="G734" s="6"/>
      <c r="H734" s="6"/>
      <c r="L734" s="5"/>
      <c r="M734" s="6"/>
      <c r="P734" s="6"/>
      <c r="Q734" s="6"/>
      <c r="U734" s="5"/>
      <c r="V734" s="6"/>
      <c r="Y734" s="6"/>
      <c r="Z734" s="6"/>
      <c r="AD734" s="5"/>
      <c r="AE734" s="6"/>
      <c r="AH734" s="6"/>
      <c r="AI734" s="6"/>
      <c r="AM734" s="5"/>
      <c r="AN734" s="6"/>
      <c r="AQ734" s="6"/>
      <c r="AR734" s="6"/>
    </row>
    <row r="735" spans="3:44" ht="13.2" x14ac:dyDescent="0.25">
      <c r="C735" s="5"/>
      <c r="D735" s="6"/>
      <c r="G735" s="6"/>
      <c r="H735" s="6"/>
      <c r="L735" s="5"/>
      <c r="M735" s="6"/>
      <c r="P735" s="6"/>
      <c r="Q735" s="6"/>
      <c r="U735" s="5"/>
      <c r="V735" s="6"/>
      <c r="Y735" s="6"/>
      <c r="Z735" s="6"/>
      <c r="AD735" s="5"/>
      <c r="AE735" s="6"/>
      <c r="AH735" s="6"/>
      <c r="AI735" s="6"/>
      <c r="AM735" s="5"/>
      <c r="AN735" s="6"/>
      <c r="AQ735" s="6"/>
      <c r="AR735" s="6"/>
    </row>
    <row r="736" spans="3:44" ht="13.2" x14ac:dyDescent="0.25">
      <c r="C736" s="5"/>
      <c r="D736" s="6"/>
      <c r="G736" s="6"/>
      <c r="H736" s="6"/>
      <c r="L736" s="5"/>
      <c r="M736" s="6"/>
      <c r="P736" s="6"/>
      <c r="Q736" s="6"/>
      <c r="U736" s="5"/>
      <c r="V736" s="6"/>
      <c r="Y736" s="6"/>
      <c r="Z736" s="6"/>
      <c r="AD736" s="5"/>
      <c r="AE736" s="6"/>
      <c r="AH736" s="6"/>
      <c r="AI736" s="6"/>
      <c r="AM736" s="5"/>
      <c r="AN736" s="6"/>
      <c r="AQ736" s="6"/>
      <c r="AR736" s="6"/>
    </row>
    <row r="737" spans="3:44" ht="13.2" x14ac:dyDescent="0.25">
      <c r="C737" s="5"/>
      <c r="D737" s="6"/>
      <c r="G737" s="6"/>
      <c r="H737" s="6"/>
      <c r="L737" s="5"/>
      <c r="M737" s="6"/>
      <c r="P737" s="6"/>
      <c r="Q737" s="6"/>
      <c r="U737" s="5"/>
      <c r="V737" s="6"/>
      <c r="Y737" s="6"/>
      <c r="Z737" s="6"/>
      <c r="AD737" s="5"/>
      <c r="AE737" s="6"/>
      <c r="AH737" s="6"/>
      <c r="AI737" s="6"/>
      <c r="AM737" s="5"/>
      <c r="AN737" s="6"/>
      <c r="AQ737" s="6"/>
      <c r="AR737" s="6"/>
    </row>
    <row r="738" spans="3:44" ht="13.2" x14ac:dyDescent="0.25">
      <c r="C738" s="5"/>
      <c r="D738" s="6"/>
      <c r="G738" s="6"/>
      <c r="H738" s="6"/>
      <c r="L738" s="5"/>
      <c r="M738" s="6"/>
      <c r="P738" s="6"/>
      <c r="Q738" s="6"/>
      <c r="U738" s="5"/>
      <c r="V738" s="6"/>
      <c r="Y738" s="6"/>
      <c r="Z738" s="6"/>
      <c r="AD738" s="5"/>
      <c r="AE738" s="6"/>
      <c r="AH738" s="6"/>
      <c r="AI738" s="6"/>
      <c r="AM738" s="5"/>
      <c r="AN738" s="6"/>
      <c r="AQ738" s="6"/>
      <c r="AR738" s="6"/>
    </row>
    <row r="739" spans="3:44" ht="13.2" x14ac:dyDescent="0.25">
      <c r="C739" s="5"/>
      <c r="D739" s="6"/>
      <c r="G739" s="6"/>
      <c r="H739" s="6"/>
      <c r="L739" s="5"/>
      <c r="M739" s="6"/>
      <c r="P739" s="6"/>
      <c r="Q739" s="6"/>
      <c r="U739" s="5"/>
      <c r="V739" s="6"/>
      <c r="Y739" s="6"/>
      <c r="Z739" s="6"/>
      <c r="AD739" s="5"/>
      <c r="AE739" s="6"/>
      <c r="AH739" s="6"/>
      <c r="AI739" s="6"/>
      <c r="AM739" s="5"/>
      <c r="AN739" s="6"/>
      <c r="AQ739" s="6"/>
      <c r="AR739" s="6"/>
    </row>
    <row r="740" spans="3:44" ht="13.2" x14ac:dyDescent="0.25">
      <c r="C740" s="5"/>
      <c r="D740" s="6"/>
      <c r="G740" s="6"/>
      <c r="H740" s="6"/>
      <c r="L740" s="5"/>
      <c r="M740" s="6"/>
      <c r="P740" s="6"/>
      <c r="Q740" s="6"/>
      <c r="U740" s="5"/>
      <c r="V740" s="6"/>
      <c r="Y740" s="6"/>
      <c r="Z740" s="6"/>
      <c r="AD740" s="5"/>
      <c r="AE740" s="6"/>
      <c r="AH740" s="6"/>
      <c r="AI740" s="6"/>
      <c r="AM740" s="5"/>
      <c r="AN740" s="6"/>
      <c r="AQ740" s="6"/>
      <c r="AR740" s="6"/>
    </row>
    <row r="741" spans="3:44" ht="13.2" x14ac:dyDescent="0.25">
      <c r="C741" s="5"/>
      <c r="D741" s="6"/>
      <c r="G741" s="6"/>
      <c r="H741" s="6"/>
      <c r="L741" s="5"/>
      <c r="M741" s="6"/>
      <c r="P741" s="6"/>
      <c r="Q741" s="6"/>
      <c r="U741" s="5"/>
      <c r="V741" s="6"/>
      <c r="Y741" s="6"/>
      <c r="Z741" s="6"/>
      <c r="AD741" s="5"/>
      <c r="AE741" s="6"/>
      <c r="AH741" s="6"/>
      <c r="AI741" s="6"/>
      <c r="AM741" s="5"/>
      <c r="AN741" s="6"/>
      <c r="AQ741" s="6"/>
      <c r="AR741" s="6"/>
    </row>
    <row r="742" spans="3:44" ht="13.2" x14ac:dyDescent="0.25">
      <c r="C742" s="5"/>
      <c r="D742" s="6"/>
      <c r="G742" s="6"/>
      <c r="H742" s="6"/>
      <c r="L742" s="5"/>
      <c r="M742" s="6"/>
      <c r="P742" s="6"/>
      <c r="Q742" s="6"/>
      <c r="U742" s="5"/>
      <c r="V742" s="6"/>
      <c r="Y742" s="6"/>
      <c r="Z742" s="6"/>
      <c r="AD742" s="5"/>
      <c r="AE742" s="6"/>
      <c r="AH742" s="6"/>
      <c r="AI742" s="6"/>
      <c r="AM742" s="5"/>
      <c r="AN742" s="6"/>
      <c r="AQ742" s="6"/>
      <c r="AR742" s="6"/>
    </row>
    <row r="743" spans="3:44" ht="13.2" x14ac:dyDescent="0.25">
      <c r="C743" s="5"/>
      <c r="D743" s="6"/>
      <c r="G743" s="6"/>
      <c r="H743" s="6"/>
      <c r="L743" s="5"/>
      <c r="M743" s="6"/>
      <c r="P743" s="6"/>
      <c r="Q743" s="6"/>
      <c r="U743" s="5"/>
      <c r="V743" s="6"/>
      <c r="Y743" s="6"/>
      <c r="Z743" s="6"/>
      <c r="AD743" s="5"/>
      <c r="AE743" s="6"/>
      <c r="AH743" s="6"/>
      <c r="AI743" s="6"/>
      <c r="AM743" s="5"/>
      <c r="AN743" s="6"/>
      <c r="AQ743" s="6"/>
      <c r="AR743" s="6"/>
    </row>
    <row r="744" spans="3:44" ht="13.2" x14ac:dyDescent="0.25">
      <c r="C744" s="5"/>
      <c r="D744" s="6"/>
      <c r="G744" s="6"/>
      <c r="H744" s="6"/>
      <c r="L744" s="5"/>
      <c r="M744" s="6"/>
      <c r="P744" s="6"/>
      <c r="Q744" s="6"/>
      <c r="U744" s="5"/>
      <c r="V744" s="6"/>
      <c r="Y744" s="6"/>
      <c r="Z744" s="6"/>
      <c r="AD744" s="5"/>
      <c r="AE744" s="6"/>
      <c r="AH744" s="6"/>
      <c r="AI744" s="6"/>
      <c r="AM744" s="5"/>
      <c r="AN744" s="6"/>
      <c r="AQ744" s="6"/>
      <c r="AR744" s="6"/>
    </row>
    <row r="745" spans="3:44" ht="13.2" x14ac:dyDescent="0.25">
      <c r="C745" s="5"/>
      <c r="D745" s="6"/>
      <c r="G745" s="6"/>
      <c r="H745" s="6"/>
      <c r="L745" s="5"/>
      <c r="M745" s="6"/>
      <c r="P745" s="6"/>
      <c r="Q745" s="6"/>
      <c r="U745" s="5"/>
      <c r="V745" s="6"/>
      <c r="Y745" s="6"/>
      <c r="Z745" s="6"/>
      <c r="AD745" s="5"/>
      <c r="AE745" s="6"/>
      <c r="AH745" s="6"/>
      <c r="AI745" s="6"/>
      <c r="AM745" s="5"/>
      <c r="AN745" s="6"/>
      <c r="AQ745" s="6"/>
      <c r="AR745" s="6"/>
    </row>
    <row r="746" spans="3:44" ht="13.2" x14ac:dyDescent="0.25">
      <c r="C746" s="5"/>
      <c r="D746" s="6"/>
      <c r="G746" s="6"/>
      <c r="H746" s="6"/>
      <c r="L746" s="5"/>
      <c r="M746" s="6"/>
      <c r="P746" s="6"/>
      <c r="Q746" s="6"/>
      <c r="U746" s="5"/>
      <c r="V746" s="6"/>
      <c r="Y746" s="6"/>
      <c r="Z746" s="6"/>
      <c r="AD746" s="5"/>
      <c r="AE746" s="6"/>
      <c r="AH746" s="6"/>
      <c r="AI746" s="6"/>
      <c r="AM746" s="5"/>
      <c r="AN746" s="6"/>
      <c r="AQ746" s="6"/>
      <c r="AR746" s="6"/>
    </row>
    <row r="747" spans="3:44" ht="13.2" x14ac:dyDescent="0.25">
      <c r="C747" s="5"/>
      <c r="D747" s="6"/>
      <c r="G747" s="6"/>
      <c r="H747" s="6"/>
      <c r="L747" s="5"/>
      <c r="M747" s="6"/>
      <c r="P747" s="6"/>
      <c r="Q747" s="6"/>
      <c r="U747" s="5"/>
      <c r="V747" s="6"/>
      <c r="Y747" s="6"/>
      <c r="Z747" s="6"/>
      <c r="AD747" s="5"/>
      <c r="AE747" s="6"/>
      <c r="AH747" s="6"/>
      <c r="AI747" s="6"/>
      <c r="AM747" s="5"/>
      <c r="AN747" s="6"/>
      <c r="AQ747" s="6"/>
      <c r="AR747" s="6"/>
    </row>
    <row r="748" spans="3:44" ht="13.2" x14ac:dyDescent="0.25">
      <c r="C748" s="5"/>
      <c r="D748" s="6"/>
      <c r="G748" s="6"/>
      <c r="H748" s="6"/>
      <c r="L748" s="5"/>
      <c r="M748" s="6"/>
      <c r="P748" s="6"/>
      <c r="Q748" s="6"/>
      <c r="U748" s="5"/>
      <c r="V748" s="6"/>
      <c r="Y748" s="6"/>
      <c r="Z748" s="6"/>
      <c r="AD748" s="5"/>
      <c r="AE748" s="6"/>
      <c r="AH748" s="6"/>
      <c r="AI748" s="6"/>
      <c r="AM748" s="5"/>
      <c r="AN748" s="6"/>
      <c r="AQ748" s="6"/>
      <c r="AR748" s="6"/>
    </row>
    <row r="749" spans="3:44" ht="13.2" x14ac:dyDescent="0.25">
      <c r="C749" s="5"/>
      <c r="D749" s="6"/>
      <c r="G749" s="6"/>
      <c r="H749" s="6"/>
      <c r="L749" s="5"/>
      <c r="M749" s="6"/>
      <c r="P749" s="6"/>
      <c r="Q749" s="6"/>
      <c r="U749" s="5"/>
      <c r="V749" s="6"/>
      <c r="Y749" s="6"/>
      <c r="Z749" s="6"/>
      <c r="AD749" s="5"/>
      <c r="AE749" s="6"/>
      <c r="AH749" s="6"/>
      <c r="AI749" s="6"/>
      <c r="AM749" s="5"/>
      <c r="AN749" s="6"/>
      <c r="AQ749" s="6"/>
      <c r="AR749" s="6"/>
    </row>
    <row r="750" spans="3:44" ht="13.2" x14ac:dyDescent="0.25">
      <c r="C750" s="5"/>
      <c r="D750" s="6"/>
      <c r="G750" s="6"/>
      <c r="H750" s="6"/>
      <c r="L750" s="5"/>
      <c r="M750" s="6"/>
      <c r="P750" s="6"/>
      <c r="Q750" s="6"/>
      <c r="U750" s="5"/>
      <c r="V750" s="6"/>
      <c r="Y750" s="6"/>
      <c r="Z750" s="6"/>
      <c r="AD750" s="5"/>
      <c r="AE750" s="6"/>
      <c r="AH750" s="6"/>
      <c r="AI750" s="6"/>
      <c r="AM750" s="5"/>
      <c r="AN750" s="6"/>
      <c r="AQ750" s="6"/>
      <c r="AR750" s="6"/>
    </row>
    <row r="751" spans="3:44" ht="13.2" x14ac:dyDescent="0.25">
      <c r="C751" s="5"/>
      <c r="D751" s="6"/>
      <c r="G751" s="6"/>
      <c r="H751" s="6"/>
      <c r="L751" s="5"/>
      <c r="M751" s="6"/>
      <c r="P751" s="6"/>
      <c r="Q751" s="6"/>
      <c r="U751" s="5"/>
      <c r="V751" s="6"/>
      <c r="Y751" s="6"/>
      <c r="Z751" s="6"/>
      <c r="AD751" s="5"/>
      <c r="AE751" s="6"/>
      <c r="AH751" s="6"/>
      <c r="AI751" s="6"/>
      <c r="AM751" s="5"/>
      <c r="AN751" s="6"/>
      <c r="AQ751" s="6"/>
      <c r="AR751" s="6"/>
    </row>
    <row r="752" spans="3:44" ht="13.2" x14ac:dyDescent="0.25">
      <c r="C752" s="5"/>
      <c r="D752" s="6"/>
      <c r="G752" s="6"/>
      <c r="H752" s="6"/>
      <c r="L752" s="5"/>
      <c r="M752" s="6"/>
      <c r="P752" s="6"/>
      <c r="Q752" s="6"/>
      <c r="U752" s="5"/>
      <c r="V752" s="6"/>
      <c r="Y752" s="6"/>
      <c r="Z752" s="6"/>
      <c r="AD752" s="5"/>
      <c r="AE752" s="6"/>
      <c r="AH752" s="6"/>
      <c r="AI752" s="6"/>
      <c r="AM752" s="5"/>
      <c r="AN752" s="6"/>
      <c r="AQ752" s="6"/>
      <c r="AR752" s="6"/>
    </row>
    <row r="753" spans="3:44" ht="13.2" x14ac:dyDescent="0.25">
      <c r="C753" s="5"/>
      <c r="D753" s="6"/>
      <c r="G753" s="6"/>
      <c r="H753" s="6"/>
      <c r="L753" s="5"/>
      <c r="M753" s="6"/>
      <c r="P753" s="6"/>
      <c r="Q753" s="6"/>
      <c r="U753" s="5"/>
      <c r="V753" s="6"/>
      <c r="Y753" s="6"/>
      <c r="Z753" s="6"/>
      <c r="AD753" s="5"/>
      <c r="AE753" s="6"/>
      <c r="AH753" s="6"/>
      <c r="AI753" s="6"/>
      <c r="AM753" s="5"/>
      <c r="AN753" s="6"/>
      <c r="AQ753" s="6"/>
      <c r="AR753" s="6"/>
    </row>
    <row r="754" spans="3:44" ht="13.2" x14ac:dyDescent="0.25">
      <c r="C754" s="5"/>
      <c r="D754" s="6"/>
      <c r="G754" s="6"/>
      <c r="H754" s="6"/>
      <c r="L754" s="5"/>
      <c r="M754" s="6"/>
      <c r="P754" s="6"/>
      <c r="Q754" s="6"/>
      <c r="U754" s="5"/>
      <c r="V754" s="6"/>
      <c r="Y754" s="6"/>
      <c r="Z754" s="6"/>
      <c r="AD754" s="5"/>
      <c r="AE754" s="6"/>
      <c r="AH754" s="6"/>
      <c r="AI754" s="6"/>
      <c r="AM754" s="5"/>
      <c r="AN754" s="6"/>
      <c r="AQ754" s="6"/>
      <c r="AR754" s="6"/>
    </row>
    <row r="755" spans="3:44" ht="13.2" x14ac:dyDescent="0.25">
      <c r="C755" s="5"/>
      <c r="D755" s="6"/>
      <c r="G755" s="6"/>
      <c r="H755" s="6"/>
      <c r="L755" s="5"/>
      <c r="M755" s="6"/>
      <c r="P755" s="6"/>
      <c r="Q755" s="6"/>
      <c r="U755" s="5"/>
      <c r="V755" s="6"/>
      <c r="Y755" s="6"/>
      <c r="Z755" s="6"/>
      <c r="AD755" s="5"/>
      <c r="AE755" s="6"/>
      <c r="AH755" s="6"/>
      <c r="AI755" s="6"/>
      <c r="AM755" s="5"/>
      <c r="AN755" s="6"/>
      <c r="AQ755" s="6"/>
      <c r="AR755" s="6"/>
    </row>
    <row r="756" spans="3:44" ht="13.2" x14ac:dyDescent="0.25">
      <c r="C756" s="5"/>
      <c r="D756" s="6"/>
      <c r="G756" s="6"/>
      <c r="H756" s="6"/>
      <c r="L756" s="5"/>
      <c r="M756" s="6"/>
      <c r="P756" s="6"/>
      <c r="Q756" s="6"/>
      <c r="U756" s="5"/>
      <c r="V756" s="6"/>
      <c r="Y756" s="6"/>
      <c r="Z756" s="6"/>
      <c r="AD756" s="5"/>
      <c r="AE756" s="6"/>
      <c r="AH756" s="6"/>
      <c r="AI756" s="6"/>
      <c r="AM756" s="5"/>
      <c r="AN756" s="6"/>
      <c r="AQ756" s="6"/>
      <c r="AR756" s="6"/>
    </row>
    <row r="757" spans="3:44" ht="13.2" x14ac:dyDescent="0.25">
      <c r="C757" s="5"/>
      <c r="D757" s="6"/>
      <c r="G757" s="6"/>
      <c r="H757" s="6"/>
      <c r="L757" s="5"/>
      <c r="M757" s="6"/>
      <c r="P757" s="6"/>
      <c r="Q757" s="6"/>
      <c r="U757" s="5"/>
      <c r="V757" s="6"/>
      <c r="Y757" s="6"/>
      <c r="Z757" s="6"/>
      <c r="AD757" s="5"/>
      <c r="AE757" s="6"/>
      <c r="AH757" s="6"/>
      <c r="AI757" s="6"/>
      <c r="AM757" s="5"/>
      <c r="AN757" s="6"/>
      <c r="AQ757" s="6"/>
      <c r="AR757" s="6"/>
    </row>
    <row r="758" spans="3:44" ht="13.2" x14ac:dyDescent="0.25">
      <c r="C758" s="5"/>
      <c r="D758" s="6"/>
      <c r="G758" s="6"/>
      <c r="H758" s="6"/>
      <c r="L758" s="5"/>
      <c r="M758" s="6"/>
      <c r="P758" s="6"/>
      <c r="Q758" s="6"/>
      <c r="U758" s="5"/>
      <c r="V758" s="6"/>
      <c r="Y758" s="6"/>
      <c r="Z758" s="6"/>
      <c r="AD758" s="5"/>
      <c r="AE758" s="6"/>
      <c r="AH758" s="6"/>
      <c r="AI758" s="6"/>
      <c r="AM758" s="5"/>
      <c r="AN758" s="6"/>
      <c r="AQ758" s="6"/>
      <c r="AR758" s="6"/>
    </row>
    <row r="759" spans="3:44" ht="13.2" x14ac:dyDescent="0.25">
      <c r="C759" s="5"/>
      <c r="D759" s="6"/>
      <c r="G759" s="6"/>
      <c r="H759" s="6"/>
      <c r="L759" s="5"/>
      <c r="M759" s="6"/>
      <c r="P759" s="6"/>
      <c r="Q759" s="6"/>
      <c r="U759" s="5"/>
      <c r="V759" s="6"/>
      <c r="Y759" s="6"/>
      <c r="Z759" s="6"/>
      <c r="AD759" s="5"/>
      <c r="AE759" s="6"/>
      <c r="AH759" s="6"/>
      <c r="AI759" s="6"/>
      <c r="AM759" s="5"/>
      <c r="AN759" s="6"/>
      <c r="AQ759" s="6"/>
      <c r="AR759" s="6"/>
    </row>
    <row r="760" spans="3:44" ht="13.2" x14ac:dyDescent="0.25">
      <c r="C760" s="5"/>
      <c r="D760" s="6"/>
      <c r="G760" s="6"/>
      <c r="H760" s="6"/>
      <c r="L760" s="5"/>
      <c r="M760" s="6"/>
      <c r="P760" s="6"/>
      <c r="Q760" s="6"/>
      <c r="U760" s="5"/>
      <c r="V760" s="6"/>
      <c r="Y760" s="6"/>
      <c r="Z760" s="6"/>
      <c r="AD760" s="5"/>
      <c r="AE760" s="6"/>
      <c r="AH760" s="6"/>
      <c r="AI760" s="6"/>
      <c r="AM760" s="5"/>
      <c r="AN760" s="6"/>
      <c r="AQ760" s="6"/>
      <c r="AR760" s="6"/>
    </row>
    <row r="761" spans="3:44" ht="13.2" x14ac:dyDescent="0.25">
      <c r="C761" s="5"/>
      <c r="D761" s="6"/>
      <c r="G761" s="6"/>
      <c r="H761" s="6"/>
      <c r="L761" s="5"/>
      <c r="M761" s="6"/>
      <c r="P761" s="6"/>
      <c r="Q761" s="6"/>
      <c r="U761" s="5"/>
      <c r="V761" s="6"/>
      <c r="Y761" s="6"/>
      <c r="Z761" s="6"/>
      <c r="AD761" s="5"/>
      <c r="AE761" s="6"/>
      <c r="AH761" s="6"/>
      <c r="AI761" s="6"/>
      <c r="AM761" s="5"/>
      <c r="AN761" s="6"/>
      <c r="AQ761" s="6"/>
      <c r="AR761" s="6"/>
    </row>
    <row r="762" spans="3:44" ht="13.2" x14ac:dyDescent="0.25">
      <c r="C762" s="5"/>
      <c r="D762" s="6"/>
      <c r="G762" s="6"/>
      <c r="H762" s="6"/>
      <c r="L762" s="5"/>
      <c r="M762" s="6"/>
      <c r="P762" s="6"/>
      <c r="Q762" s="6"/>
      <c r="U762" s="5"/>
      <c r="V762" s="6"/>
      <c r="Y762" s="6"/>
      <c r="Z762" s="6"/>
      <c r="AD762" s="5"/>
      <c r="AE762" s="6"/>
      <c r="AH762" s="6"/>
      <c r="AI762" s="6"/>
      <c r="AM762" s="5"/>
      <c r="AN762" s="6"/>
      <c r="AQ762" s="6"/>
      <c r="AR762" s="6"/>
    </row>
    <row r="763" spans="3:44" ht="13.2" x14ac:dyDescent="0.25">
      <c r="C763" s="5"/>
      <c r="D763" s="6"/>
      <c r="G763" s="6"/>
      <c r="H763" s="6"/>
      <c r="L763" s="5"/>
      <c r="M763" s="6"/>
      <c r="P763" s="6"/>
      <c r="Q763" s="6"/>
      <c r="U763" s="5"/>
      <c r="V763" s="6"/>
      <c r="Y763" s="6"/>
      <c r="Z763" s="6"/>
      <c r="AD763" s="5"/>
      <c r="AE763" s="6"/>
      <c r="AH763" s="6"/>
      <c r="AI763" s="6"/>
      <c r="AM763" s="5"/>
      <c r="AN763" s="6"/>
      <c r="AQ763" s="6"/>
      <c r="AR763" s="6"/>
    </row>
    <row r="764" spans="3:44" ht="13.2" x14ac:dyDescent="0.25">
      <c r="C764" s="5"/>
      <c r="D764" s="6"/>
      <c r="G764" s="6"/>
      <c r="H764" s="6"/>
      <c r="L764" s="5"/>
      <c r="M764" s="6"/>
      <c r="P764" s="6"/>
      <c r="Q764" s="6"/>
      <c r="U764" s="5"/>
      <c r="V764" s="6"/>
      <c r="Y764" s="6"/>
      <c r="Z764" s="6"/>
      <c r="AD764" s="5"/>
      <c r="AE764" s="6"/>
      <c r="AH764" s="6"/>
      <c r="AI764" s="6"/>
      <c r="AM764" s="5"/>
      <c r="AN764" s="6"/>
      <c r="AQ764" s="6"/>
      <c r="AR764" s="6"/>
    </row>
    <row r="765" spans="3:44" ht="13.2" x14ac:dyDescent="0.25">
      <c r="C765" s="5"/>
      <c r="D765" s="6"/>
      <c r="G765" s="6"/>
      <c r="H765" s="6"/>
      <c r="L765" s="5"/>
      <c r="M765" s="6"/>
      <c r="P765" s="6"/>
      <c r="Q765" s="6"/>
      <c r="U765" s="5"/>
      <c r="V765" s="6"/>
      <c r="Y765" s="6"/>
      <c r="Z765" s="6"/>
      <c r="AD765" s="5"/>
      <c r="AE765" s="6"/>
      <c r="AH765" s="6"/>
      <c r="AI765" s="6"/>
      <c r="AM765" s="5"/>
      <c r="AN765" s="6"/>
      <c r="AQ765" s="6"/>
      <c r="AR765" s="6"/>
    </row>
    <row r="766" spans="3:44" ht="13.2" x14ac:dyDescent="0.25">
      <c r="C766" s="5"/>
      <c r="D766" s="6"/>
      <c r="G766" s="6"/>
      <c r="H766" s="6"/>
      <c r="L766" s="5"/>
      <c r="M766" s="6"/>
      <c r="P766" s="6"/>
      <c r="Q766" s="6"/>
      <c r="U766" s="5"/>
      <c r="V766" s="6"/>
      <c r="Y766" s="6"/>
      <c r="Z766" s="6"/>
      <c r="AD766" s="5"/>
      <c r="AE766" s="6"/>
      <c r="AH766" s="6"/>
      <c r="AI766" s="6"/>
      <c r="AM766" s="5"/>
      <c r="AN766" s="6"/>
      <c r="AQ766" s="6"/>
      <c r="AR766" s="6"/>
    </row>
    <row r="767" spans="3:44" ht="13.2" x14ac:dyDescent="0.25">
      <c r="C767" s="5"/>
      <c r="D767" s="6"/>
      <c r="G767" s="6"/>
      <c r="H767" s="6"/>
      <c r="L767" s="5"/>
      <c r="M767" s="6"/>
      <c r="P767" s="6"/>
      <c r="Q767" s="6"/>
      <c r="U767" s="5"/>
      <c r="V767" s="6"/>
      <c r="Y767" s="6"/>
      <c r="Z767" s="6"/>
      <c r="AD767" s="5"/>
      <c r="AE767" s="6"/>
      <c r="AH767" s="6"/>
      <c r="AI767" s="6"/>
      <c r="AM767" s="5"/>
      <c r="AN767" s="6"/>
      <c r="AQ767" s="6"/>
      <c r="AR767" s="6"/>
    </row>
    <row r="768" spans="3:44" ht="13.2" x14ac:dyDescent="0.25">
      <c r="C768" s="5"/>
      <c r="D768" s="6"/>
      <c r="G768" s="6"/>
      <c r="H768" s="6"/>
      <c r="L768" s="5"/>
      <c r="M768" s="6"/>
      <c r="P768" s="6"/>
      <c r="Q768" s="6"/>
      <c r="U768" s="5"/>
      <c r="V768" s="6"/>
      <c r="Y768" s="6"/>
      <c r="Z768" s="6"/>
      <c r="AD768" s="5"/>
      <c r="AE768" s="6"/>
      <c r="AH768" s="6"/>
      <c r="AI768" s="6"/>
      <c r="AM768" s="5"/>
      <c r="AN768" s="6"/>
      <c r="AQ768" s="6"/>
      <c r="AR768" s="6"/>
    </row>
    <row r="769" spans="3:44" ht="13.2" x14ac:dyDescent="0.25">
      <c r="C769" s="5"/>
      <c r="D769" s="6"/>
      <c r="G769" s="6"/>
      <c r="H769" s="6"/>
      <c r="L769" s="5"/>
      <c r="M769" s="6"/>
      <c r="P769" s="6"/>
      <c r="Q769" s="6"/>
      <c r="U769" s="5"/>
      <c r="V769" s="6"/>
      <c r="Y769" s="6"/>
      <c r="Z769" s="6"/>
      <c r="AD769" s="5"/>
      <c r="AE769" s="6"/>
      <c r="AH769" s="6"/>
      <c r="AI769" s="6"/>
      <c r="AM769" s="5"/>
      <c r="AN769" s="6"/>
      <c r="AQ769" s="6"/>
      <c r="AR769" s="6"/>
    </row>
    <row r="770" spans="3:44" ht="13.2" x14ac:dyDescent="0.25">
      <c r="C770" s="5"/>
      <c r="D770" s="6"/>
      <c r="G770" s="6"/>
      <c r="H770" s="6"/>
      <c r="L770" s="5"/>
      <c r="M770" s="6"/>
      <c r="P770" s="6"/>
      <c r="Q770" s="6"/>
      <c r="U770" s="5"/>
      <c r="V770" s="6"/>
      <c r="Y770" s="6"/>
      <c r="Z770" s="6"/>
      <c r="AD770" s="5"/>
      <c r="AE770" s="6"/>
      <c r="AH770" s="6"/>
      <c r="AI770" s="6"/>
      <c r="AM770" s="5"/>
      <c r="AN770" s="6"/>
      <c r="AQ770" s="6"/>
      <c r="AR770" s="6"/>
    </row>
    <row r="771" spans="3:44" ht="13.2" x14ac:dyDescent="0.25">
      <c r="C771" s="5"/>
      <c r="D771" s="6"/>
      <c r="G771" s="6"/>
      <c r="H771" s="6"/>
      <c r="L771" s="5"/>
      <c r="M771" s="6"/>
      <c r="P771" s="6"/>
      <c r="Q771" s="6"/>
      <c r="U771" s="5"/>
      <c r="V771" s="6"/>
      <c r="Y771" s="6"/>
      <c r="Z771" s="6"/>
      <c r="AD771" s="5"/>
      <c r="AE771" s="6"/>
      <c r="AH771" s="6"/>
      <c r="AI771" s="6"/>
      <c r="AM771" s="5"/>
      <c r="AN771" s="6"/>
      <c r="AQ771" s="6"/>
      <c r="AR771" s="6"/>
    </row>
    <row r="772" spans="3:44" ht="13.2" x14ac:dyDescent="0.25">
      <c r="C772" s="5"/>
      <c r="D772" s="6"/>
      <c r="G772" s="6"/>
      <c r="H772" s="6"/>
      <c r="L772" s="5"/>
      <c r="M772" s="6"/>
      <c r="P772" s="6"/>
      <c r="Q772" s="6"/>
      <c r="U772" s="5"/>
      <c r="V772" s="6"/>
      <c r="Y772" s="6"/>
      <c r="Z772" s="6"/>
      <c r="AD772" s="5"/>
      <c r="AE772" s="6"/>
      <c r="AH772" s="6"/>
      <c r="AI772" s="6"/>
      <c r="AM772" s="5"/>
      <c r="AN772" s="6"/>
      <c r="AQ772" s="6"/>
      <c r="AR772" s="6"/>
    </row>
    <row r="773" spans="3:44" ht="13.2" x14ac:dyDescent="0.25">
      <c r="C773" s="5"/>
      <c r="D773" s="6"/>
      <c r="G773" s="6"/>
      <c r="H773" s="6"/>
      <c r="L773" s="5"/>
      <c r="M773" s="6"/>
      <c r="P773" s="6"/>
      <c r="Q773" s="6"/>
      <c r="U773" s="5"/>
      <c r="V773" s="6"/>
      <c r="Y773" s="6"/>
      <c r="Z773" s="6"/>
      <c r="AD773" s="5"/>
      <c r="AE773" s="6"/>
      <c r="AH773" s="6"/>
      <c r="AI773" s="6"/>
      <c r="AM773" s="5"/>
      <c r="AN773" s="6"/>
      <c r="AQ773" s="6"/>
      <c r="AR773" s="6"/>
    </row>
    <row r="774" spans="3:44" ht="13.2" x14ac:dyDescent="0.25">
      <c r="C774" s="5"/>
      <c r="D774" s="6"/>
      <c r="G774" s="6"/>
      <c r="H774" s="6"/>
      <c r="L774" s="5"/>
      <c r="M774" s="6"/>
      <c r="P774" s="6"/>
      <c r="Q774" s="6"/>
      <c r="U774" s="5"/>
      <c r="V774" s="6"/>
      <c r="Y774" s="6"/>
      <c r="Z774" s="6"/>
      <c r="AD774" s="5"/>
      <c r="AE774" s="6"/>
      <c r="AH774" s="6"/>
      <c r="AI774" s="6"/>
      <c r="AM774" s="5"/>
      <c r="AN774" s="6"/>
      <c r="AQ774" s="6"/>
      <c r="AR774" s="6"/>
    </row>
    <row r="775" spans="3:44" ht="13.2" x14ac:dyDescent="0.25">
      <c r="C775" s="5"/>
      <c r="D775" s="6"/>
      <c r="G775" s="6"/>
      <c r="H775" s="6"/>
      <c r="L775" s="5"/>
      <c r="M775" s="6"/>
      <c r="P775" s="6"/>
      <c r="Q775" s="6"/>
      <c r="U775" s="5"/>
      <c r="V775" s="6"/>
      <c r="Y775" s="6"/>
      <c r="Z775" s="6"/>
      <c r="AD775" s="5"/>
      <c r="AE775" s="6"/>
      <c r="AH775" s="6"/>
      <c r="AI775" s="6"/>
      <c r="AM775" s="5"/>
      <c r="AN775" s="6"/>
      <c r="AQ775" s="6"/>
      <c r="AR775" s="6"/>
    </row>
    <row r="776" spans="3:44" ht="13.2" x14ac:dyDescent="0.25">
      <c r="C776" s="5"/>
      <c r="D776" s="6"/>
      <c r="G776" s="6"/>
      <c r="H776" s="6"/>
      <c r="L776" s="5"/>
      <c r="M776" s="6"/>
      <c r="P776" s="6"/>
      <c r="Q776" s="6"/>
      <c r="U776" s="5"/>
      <c r="V776" s="6"/>
      <c r="Y776" s="6"/>
      <c r="Z776" s="6"/>
      <c r="AD776" s="5"/>
      <c r="AE776" s="6"/>
      <c r="AH776" s="6"/>
      <c r="AI776" s="6"/>
      <c r="AM776" s="5"/>
      <c r="AN776" s="6"/>
      <c r="AQ776" s="6"/>
      <c r="AR776" s="6"/>
    </row>
    <row r="777" spans="3:44" ht="13.2" x14ac:dyDescent="0.25">
      <c r="C777" s="5"/>
      <c r="D777" s="6"/>
      <c r="G777" s="6"/>
      <c r="H777" s="6"/>
      <c r="L777" s="5"/>
      <c r="M777" s="6"/>
      <c r="P777" s="6"/>
      <c r="Q777" s="6"/>
      <c r="U777" s="5"/>
      <c r="V777" s="6"/>
      <c r="Y777" s="6"/>
      <c r="Z777" s="6"/>
      <c r="AD777" s="5"/>
      <c r="AE777" s="6"/>
      <c r="AH777" s="6"/>
      <c r="AI777" s="6"/>
      <c r="AM777" s="5"/>
      <c r="AN777" s="6"/>
      <c r="AQ777" s="6"/>
      <c r="AR777" s="6"/>
    </row>
    <row r="778" spans="3:44" ht="13.2" x14ac:dyDescent="0.25">
      <c r="C778" s="5"/>
      <c r="D778" s="6"/>
      <c r="G778" s="6"/>
      <c r="H778" s="6"/>
      <c r="L778" s="5"/>
      <c r="M778" s="6"/>
      <c r="P778" s="6"/>
      <c r="Q778" s="6"/>
      <c r="U778" s="5"/>
      <c r="V778" s="6"/>
      <c r="Y778" s="6"/>
      <c r="Z778" s="6"/>
      <c r="AD778" s="5"/>
      <c r="AE778" s="6"/>
      <c r="AH778" s="6"/>
      <c r="AI778" s="6"/>
      <c r="AM778" s="5"/>
      <c r="AN778" s="6"/>
      <c r="AQ778" s="6"/>
      <c r="AR778" s="6"/>
    </row>
    <row r="779" spans="3:44" ht="13.2" x14ac:dyDescent="0.25">
      <c r="C779" s="5"/>
      <c r="D779" s="6"/>
      <c r="G779" s="6"/>
      <c r="H779" s="6"/>
      <c r="L779" s="5"/>
      <c r="M779" s="6"/>
      <c r="P779" s="6"/>
      <c r="Q779" s="6"/>
      <c r="U779" s="5"/>
      <c r="V779" s="6"/>
      <c r="Y779" s="6"/>
      <c r="Z779" s="6"/>
      <c r="AD779" s="5"/>
      <c r="AE779" s="6"/>
      <c r="AH779" s="6"/>
      <c r="AI779" s="6"/>
      <c r="AM779" s="5"/>
      <c r="AN779" s="6"/>
      <c r="AQ779" s="6"/>
      <c r="AR779" s="6"/>
    </row>
    <row r="780" spans="3:44" ht="13.2" x14ac:dyDescent="0.25">
      <c r="C780" s="5"/>
      <c r="D780" s="6"/>
      <c r="G780" s="6"/>
      <c r="H780" s="6"/>
      <c r="L780" s="5"/>
      <c r="M780" s="6"/>
      <c r="P780" s="6"/>
      <c r="Q780" s="6"/>
      <c r="U780" s="5"/>
      <c r="V780" s="6"/>
      <c r="Y780" s="6"/>
      <c r="Z780" s="6"/>
      <c r="AD780" s="5"/>
      <c r="AE780" s="6"/>
      <c r="AH780" s="6"/>
      <c r="AI780" s="6"/>
      <c r="AM780" s="5"/>
      <c r="AN780" s="6"/>
      <c r="AQ780" s="6"/>
      <c r="AR780" s="6"/>
    </row>
    <row r="781" spans="3:44" ht="13.2" x14ac:dyDescent="0.25">
      <c r="C781" s="5"/>
      <c r="D781" s="6"/>
      <c r="G781" s="6"/>
      <c r="H781" s="6"/>
      <c r="L781" s="5"/>
      <c r="M781" s="6"/>
      <c r="P781" s="6"/>
      <c r="Q781" s="6"/>
      <c r="U781" s="5"/>
      <c r="V781" s="6"/>
      <c r="Y781" s="6"/>
      <c r="Z781" s="6"/>
      <c r="AD781" s="5"/>
      <c r="AE781" s="6"/>
      <c r="AH781" s="6"/>
      <c r="AI781" s="6"/>
      <c r="AM781" s="5"/>
      <c r="AN781" s="6"/>
      <c r="AQ781" s="6"/>
      <c r="AR781" s="6"/>
    </row>
    <row r="782" spans="3:44" ht="13.2" x14ac:dyDescent="0.25">
      <c r="C782" s="5"/>
      <c r="D782" s="6"/>
      <c r="G782" s="6"/>
      <c r="H782" s="6"/>
      <c r="L782" s="5"/>
      <c r="M782" s="6"/>
      <c r="P782" s="6"/>
      <c r="Q782" s="6"/>
      <c r="U782" s="5"/>
      <c r="V782" s="6"/>
      <c r="Y782" s="6"/>
      <c r="Z782" s="6"/>
      <c r="AD782" s="5"/>
      <c r="AE782" s="6"/>
      <c r="AH782" s="6"/>
      <c r="AI782" s="6"/>
      <c r="AM782" s="5"/>
      <c r="AN782" s="6"/>
      <c r="AQ782" s="6"/>
      <c r="AR782" s="6"/>
    </row>
    <row r="783" spans="3:44" ht="13.2" x14ac:dyDescent="0.25">
      <c r="C783" s="5"/>
      <c r="D783" s="6"/>
      <c r="G783" s="6"/>
      <c r="H783" s="6"/>
      <c r="L783" s="5"/>
      <c r="M783" s="6"/>
      <c r="P783" s="6"/>
      <c r="Q783" s="6"/>
      <c r="U783" s="5"/>
      <c r="V783" s="6"/>
      <c r="Y783" s="6"/>
      <c r="Z783" s="6"/>
      <c r="AD783" s="5"/>
      <c r="AE783" s="6"/>
      <c r="AH783" s="6"/>
      <c r="AI783" s="6"/>
      <c r="AM783" s="5"/>
      <c r="AN783" s="6"/>
      <c r="AQ783" s="6"/>
      <c r="AR783" s="6"/>
    </row>
    <row r="784" spans="3:44" ht="13.2" x14ac:dyDescent="0.25">
      <c r="C784" s="5"/>
      <c r="D784" s="6"/>
      <c r="G784" s="6"/>
      <c r="H784" s="6"/>
      <c r="L784" s="5"/>
      <c r="M784" s="6"/>
      <c r="P784" s="6"/>
      <c r="Q784" s="6"/>
      <c r="U784" s="5"/>
      <c r="V784" s="6"/>
      <c r="Y784" s="6"/>
      <c r="Z784" s="6"/>
      <c r="AD784" s="5"/>
      <c r="AE784" s="6"/>
      <c r="AH784" s="6"/>
      <c r="AI784" s="6"/>
      <c r="AM784" s="5"/>
      <c r="AN784" s="6"/>
      <c r="AQ784" s="6"/>
      <c r="AR784" s="6"/>
    </row>
    <row r="785" spans="3:44" ht="13.2" x14ac:dyDescent="0.25">
      <c r="C785" s="5"/>
      <c r="D785" s="6"/>
      <c r="G785" s="6"/>
      <c r="H785" s="6"/>
      <c r="L785" s="5"/>
      <c r="M785" s="6"/>
      <c r="P785" s="6"/>
      <c r="Q785" s="6"/>
      <c r="U785" s="5"/>
      <c r="V785" s="6"/>
      <c r="Y785" s="6"/>
      <c r="Z785" s="6"/>
      <c r="AD785" s="5"/>
      <c r="AE785" s="6"/>
      <c r="AH785" s="6"/>
      <c r="AI785" s="6"/>
      <c r="AM785" s="5"/>
      <c r="AN785" s="6"/>
      <c r="AQ785" s="6"/>
      <c r="AR785" s="6"/>
    </row>
    <row r="786" spans="3:44" ht="13.2" x14ac:dyDescent="0.25">
      <c r="C786" s="5"/>
      <c r="D786" s="6"/>
      <c r="G786" s="6"/>
      <c r="H786" s="6"/>
      <c r="L786" s="5"/>
      <c r="M786" s="6"/>
      <c r="P786" s="6"/>
      <c r="Q786" s="6"/>
      <c r="U786" s="5"/>
      <c r="V786" s="6"/>
      <c r="Y786" s="6"/>
      <c r="Z786" s="6"/>
      <c r="AD786" s="5"/>
      <c r="AE786" s="6"/>
      <c r="AH786" s="6"/>
      <c r="AI786" s="6"/>
      <c r="AM786" s="5"/>
      <c r="AN786" s="6"/>
      <c r="AQ786" s="6"/>
      <c r="AR786" s="6"/>
    </row>
    <row r="787" spans="3:44" ht="13.2" x14ac:dyDescent="0.25">
      <c r="C787" s="5"/>
      <c r="D787" s="6"/>
      <c r="G787" s="6"/>
      <c r="H787" s="6"/>
      <c r="L787" s="5"/>
      <c r="M787" s="6"/>
      <c r="P787" s="6"/>
      <c r="Q787" s="6"/>
      <c r="U787" s="5"/>
      <c r="V787" s="6"/>
      <c r="Y787" s="6"/>
      <c r="Z787" s="6"/>
      <c r="AD787" s="5"/>
      <c r="AE787" s="6"/>
      <c r="AH787" s="6"/>
      <c r="AI787" s="6"/>
      <c r="AM787" s="5"/>
      <c r="AN787" s="6"/>
      <c r="AQ787" s="6"/>
      <c r="AR787" s="6"/>
    </row>
    <row r="788" spans="3:44" ht="13.2" x14ac:dyDescent="0.25">
      <c r="C788" s="5"/>
      <c r="D788" s="6"/>
      <c r="G788" s="6"/>
      <c r="H788" s="6"/>
      <c r="L788" s="5"/>
      <c r="M788" s="6"/>
      <c r="P788" s="6"/>
      <c r="Q788" s="6"/>
      <c r="U788" s="5"/>
      <c r="V788" s="6"/>
      <c r="Y788" s="6"/>
      <c r="Z788" s="6"/>
      <c r="AD788" s="5"/>
      <c r="AE788" s="6"/>
      <c r="AH788" s="6"/>
      <c r="AI788" s="6"/>
      <c r="AM788" s="5"/>
      <c r="AN788" s="6"/>
      <c r="AQ788" s="6"/>
      <c r="AR788" s="6"/>
    </row>
    <row r="789" spans="3:44" ht="13.2" x14ac:dyDescent="0.25">
      <c r="C789" s="5"/>
      <c r="D789" s="6"/>
      <c r="G789" s="6"/>
      <c r="H789" s="6"/>
      <c r="L789" s="5"/>
      <c r="M789" s="6"/>
      <c r="P789" s="6"/>
      <c r="Q789" s="6"/>
      <c r="U789" s="5"/>
      <c r="V789" s="6"/>
      <c r="Y789" s="6"/>
      <c r="Z789" s="6"/>
      <c r="AD789" s="5"/>
      <c r="AE789" s="6"/>
      <c r="AH789" s="6"/>
      <c r="AI789" s="6"/>
      <c r="AM789" s="5"/>
      <c r="AN789" s="6"/>
      <c r="AQ789" s="6"/>
      <c r="AR789" s="6"/>
    </row>
    <row r="790" spans="3:44" ht="13.2" x14ac:dyDescent="0.25">
      <c r="C790" s="5"/>
      <c r="D790" s="6"/>
      <c r="G790" s="6"/>
      <c r="H790" s="6"/>
      <c r="L790" s="5"/>
      <c r="M790" s="6"/>
      <c r="P790" s="6"/>
      <c r="Q790" s="6"/>
      <c r="U790" s="5"/>
      <c r="V790" s="6"/>
      <c r="Y790" s="6"/>
      <c r="Z790" s="6"/>
      <c r="AD790" s="5"/>
      <c r="AE790" s="6"/>
      <c r="AH790" s="6"/>
      <c r="AI790" s="6"/>
      <c r="AM790" s="5"/>
      <c r="AN790" s="6"/>
      <c r="AQ790" s="6"/>
      <c r="AR790" s="6"/>
    </row>
    <row r="791" spans="3:44" ht="13.2" x14ac:dyDescent="0.25">
      <c r="C791" s="5"/>
      <c r="D791" s="6"/>
      <c r="G791" s="6"/>
      <c r="H791" s="6"/>
      <c r="L791" s="5"/>
      <c r="M791" s="6"/>
      <c r="P791" s="6"/>
      <c r="Q791" s="6"/>
      <c r="U791" s="5"/>
      <c r="V791" s="6"/>
      <c r="Y791" s="6"/>
      <c r="Z791" s="6"/>
      <c r="AD791" s="5"/>
      <c r="AE791" s="6"/>
      <c r="AH791" s="6"/>
      <c r="AI791" s="6"/>
      <c r="AM791" s="5"/>
      <c r="AN791" s="6"/>
      <c r="AQ791" s="6"/>
      <c r="AR791" s="6"/>
    </row>
    <row r="792" spans="3:44" ht="13.2" x14ac:dyDescent="0.25">
      <c r="C792" s="5"/>
      <c r="D792" s="6"/>
      <c r="G792" s="6"/>
      <c r="H792" s="6"/>
      <c r="L792" s="5"/>
      <c r="M792" s="6"/>
      <c r="P792" s="6"/>
      <c r="Q792" s="6"/>
      <c r="U792" s="5"/>
      <c r="V792" s="6"/>
      <c r="Y792" s="6"/>
      <c r="Z792" s="6"/>
      <c r="AD792" s="5"/>
      <c r="AE792" s="6"/>
      <c r="AH792" s="6"/>
      <c r="AI792" s="6"/>
      <c r="AM792" s="5"/>
      <c r="AN792" s="6"/>
      <c r="AQ792" s="6"/>
      <c r="AR792" s="6"/>
    </row>
    <row r="793" spans="3:44" ht="13.2" x14ac:dyDescent="0.25">
      <c r="C793" s="5"/>
      <c r="D793" s="6"/>
      <c r="G793" s="6"/>
      <c r="H793" s="6"/>
      <c r="L793" s="5"/>
      <c r="M793" s="6"/>
      <c r="P793" s="6"/>
      <c r="Q793" s="6"/>
      <c r="U793" s="5"/>
      <c r="V793" s="6"/>
      <c r="Y793" s="6"/>
      <c r="Z793" s="6"/>
      <c r="AD793" s="5"/>
      <c r="AE793" s="6"/>
      <c r="AH793" s="6"/>
      <c r="AI793" s="6"/>
      <c r="AM793" s="5"/>
      <c r="AN793" s="6"/>
      <c r="AQ793" s="6"/>
      <c r="AR793" s="6"/>
    </row>
    <row r="794" spans="3:44" ht="13.2" x14ac:dyDescent="0.25">
      <c r="C794" s="5"/>
      <c r="D794" s="6"/>
      <c r="G794" s="6"/>
      <c r="H794" s="6"/>
      <c r="L794" s="5"/>
      <c r="M794" s="6"/>
      <c r="P794" s="6"/>
      <c r="Q794" s="6"/>
      <c r="U794" s="5"/>
      <c r="V794" s="6"/>
      <c r="Y794" s="6"/>
      <c r="Z794" s="6"/>
      <c r="AD794" s="5"/>
      <c r="AE794" s="6"/>
      <c r="AH794" s="6"/>
      <c r="AI794" s="6"/>
      <c r="AM794" s="5"/>
      <c r="AN794" s="6"/>
      <c r="AQ794" s="6"/>
      <c r="AR794" s="6"/>
    </row>
    <row r="795" spans="3:44" ht="13.2" x14ac:dyDescent="0.25">
      <c r="C795" s="5"/>
      <c r="D795" s="6"/>
      <c r="G795" s="6"/>
      <c r="H795" s="6"/>
      <c r="L795" s="5"/>
      <c r="M795" s="6"/>
      <c r="P795" s="6"/>
      <c r="Q795" s="6"/>
      <c r="U795" s="5"/>
      <c r="V795" s="6"/>
      <c r="Y795" s="6"/>
      <c r="Z795" s="6"/>
      <c r="AD795" s="5"/>
      <c r="AE795" s="6"/>
      <c r="AH795" s="6"/>
      <c r="AI795" s="6"/>
      <c r="AM795" s="5"/>
      <c r="AN795" s="6"/>
      <c r="AQ795" s="6"/>
      <c r="AR795" s="6"/>
    </row>
    <row r="796" spans="3:44" ht="13.2" x14ac:dyDescent="0.25">
      <c r="C796" s="5"/>
      <c r="D796" s="6"/>
      <c r="G796" s="6"/>
      <c r="H796" s="6"/>
      <c r="L796" s="5"/>
      <c r="M796" s="6"/>
      <c r="P796" s="6"/>
      <c r="Q796" s="6"/>
      <c r="U796" s="5"/>
      <c r="V796" s="6"/>
      <c r="Y796" s="6"/>
      <c r="Z796" s="6"/>
      <c r="AD796" s="5"/>
      <c r="AE796" s="6"/>
      <c r="AH796" s="6"/>
      <c r="AI796" s="6"/>
      <c r="AM796" s="5"/>
      <c r="AN796" s="6"/>
      <c r="AQ796" s="6"/>
      <c r="AR796" s="6"/>
    </row>
    <row r="797" spans="3:44" ht="13.2" x14ac:dyDescent="0.25">
      <c r="C797" s="5"/>
      <c r="D797" s="6"/>
      <c r="G797" s="6"/>
      <c r="H797" s="6"/>
      <c r="L797" s="5"/>
      <c r="M797" s="6"/>
      <c r="P797" s="6"/>
      <c r="Q797" s="6"/>
      <c r="U797" s="5"/>
      <c r="V797" s="6"/>
      <c r="Y797" s="6"/>
      <c r="Z797" s="6"/>
      <c r="AD797" s="5"/>
      <c r="AE797" s="6"/>
      <c r="AH797" s="6"/>
      <c r="AI797" s="6"/>
      <c r="AM797" s="5"/>
      <c r="AN797" s="6"/>
      <c r="AQ797" s="6"/>
      <c r="AR797" s="6"/>
    </row>
    <row r="798" spans="3:44" ht="13.2" x14ac:dyDescent="0.25">
      <c r="C798" s="5"/>
      <c r="D798" s="6"/>
      <c r="G798" s="6"/>
      <c r="H798" s="6"/>
      <c r="L798" s="5"/>
      <c r="M798" s="6"/>
      <c r="P798" s="6"/>
      <c r="Q798" s="6"/>
      <c r="U798" s="5"/>
      <c r="V798" s="6"/>
      <c r="Y798" s="6"/>
      <c r="Z798" s="6"/>
      <c r="AD798" s="5"/>
      <c r="AE798" s="6"/>
      <c r="AH798" s="6"/>
      <c r="AI798" s="6"/>
      <c r="AM798" s="5"/>
      <c r="AN798" s="6"/>
      <c r="AQ798" s="6"/>
      <c r="AR798" s="6"/>
    </row>
    <row r="799" spans="3:44" ht="13.2" x14ac:dyDescent="0.25">
      <c r="C799" s="5"/>
      <c r="D799" s="6"/>
      <c r="G799" s="6"/>
      <c r="H799" s="6"/>
      <c r="L799" s="5"/>
      <c r="M799" s="6"/>
      <c r="P799" s="6"/>
      <c r="Q799" s="6"/>
      <c r="U799" s="5"/>
      <c r="V799" s="6"/>
      <c r="Y799" s="6"/>
      <c r="Z799" s="6"/>
      <c r="AD799" s="5"/>
      <c r="AE799" s="6"/>
      <c r="AH799" s="6"/>
      <c r="AI799" s="6"/>
      <c r="AM799" s="5"/>
      <c r="AN799" s="6"/>
      <c r="AQ799" s="6"/>
      <c r="AR799" s="6"/>
    </row>
    <row r="800" spans="3:44" ht="13.2" x14ac:dyDescent="0.25">
      <c r="C800" s="5"/>
      <c r="D800" s="6"/>
      <c r="G800" s="6"/>
      <c r="H800" s="6"/>
      <c r="L800" s="5"/>
      <c r="M800" s="6"/>
      <c r="P800" s="6"/>
      <c r="Q800" s="6"/>
      <c r="U800" s="5"/>
      <c r="V800" s="6"/>
      <c r="Y800" s="6"/>
      <c r="Z800" s="6"/>
      <c r="AD800" s="5"/>
      <c r="AE800" s="6"/>
      <c r="AH800" s="6"/>
      <c r="AI800" s="6"/>
      <c r="AM800" s="5"/>
      <c r="AN800" s="6"/>
      <c r="AQ800" s="6"/>
      <c r="AR800" s="6"/>
    </row>
    <row r="801" spans="3:44" ht="13.2" x14ac:dyDescent="0.25">
      <c r="C801" s="5"/>
      <c r="D801" s="6"/>
      <c r="G801" s="6"/>
      <c r="H801" s="6"/>
      <c r="L801" s="5"/>
      <c r="M801" s="6"/>
      <c r="P801" s="6"/>
      <c r="Q801" s="6"/>
      <c r="U801" s="5"/>
      <c r="V801" s="6"/>
      <c r="Y801" s="6"/>
      <c r="Z801" s="6"/>
      <c r="AD801" s="5"/>
      <c r="AE801" s="6"/>
      <c r="AH801" s="6"/>
      <c r="AI801" s="6"/>
      <c r="AM801" s="5"/>
      <c r="AN801" s="6"/>
      <c r="AQ801" s="6"/>
      <c r="AR801" s="6"/>
    </row>
    <row r="802" spans="3:44" ht="13.2" x14ac:dyDescent="0.25">
      <c r="C802" s="5"/>
      <c r="D802" s="6"/>
      <c r="G802" s="6"/>
      <c r="H802" s="6"/>
      <c r="L802" s="5"/>
      <c r="M802" s="6"/>
      <c r="P802" s="6"/>
      <c r="Q802" s="6"/>
      <c r="U802" s="5"/>
      <c r="V802" s="6"/>
      <c r="Y802" s="6"/>
      <c r="Z802" s="6"/>
      <c r="AD802" s="5"/>
      <c r="AE802" s="6"/>
      <c r="AH802" s="6"/>
      <c r="AI802" s="6"/>
      <c r="AM802" s="5"/>
      <c r="AN802" s="6"/>
      <c r="AQ802" s="6"/>
      <c r="AR802" s="6"/>
    </row>
    <row r="803" spans="3:44" ht="13.2" x14ac:dyDescent="0.25">
      <c r="C803" s="5"/>
      <c r="D803" s="6"/>
      <c r="G803" s="6"/>
      <c r="H803" s="6"/>
      <c r="L803" s="5"/>
      <c r="M803" s="6"/>
      <c r="P803" s="6"/>
      <c r="Q803" s="6"/>
      <c r="U803" s="5"/>
      <c r="V803" s="6"/>
      <c r="Y803" s="6"/>
      <c r="Z803" s="6"/>
      <c r="AD803" s="5"/>
      <c r="AE803" s="6"/>
      <c r="AH803" s="6"/>
      <c r="AI803" s="6"/>
      <c r="AM803" s="5"/>
      <c r="AN803" s="6"/>
      <c r="AQ803" s="6"/>
      <c r="AR803" s="6"/>
    </row>
    <row r="804" spans="3:44" ht="13.2" x14ac:dyDescent="0.25">
      <c r="C804" s="5"/>
      <c r="D804" s="6"/>
      <c r="G804" s="6"/>
      <c r="H804" s="6"/>
      <c r="L804" s="5"/>
      <c r="M804" s="6"/>
      <c r="P804" s="6"/>
      <c r="Q804" s="6"/>
      <c r="U804" s="5"/>
      <c r="V804" s="6"/>
      <c r="Y804" s="6"/>
      <c r="Z804" s="6"/>
      <c r="AD804" s="5"/>
      <c r="AE804" s="6"/>
      <c r="AH804" s="6"/>
      <c r="AI804" s="6"/>
      <c r="AM804" s="5"/>
      <c r="AN804" s="6"/>
      <c r="AQ804" s="6"/>
      <c r="AR804" s="6"/>
    </row>
    <row r="805" spans="3:44" ht="13.2" x14ac:dyDescent="0.25">
      <c r="C805" s="5"/>
      <c r="D805" s="6"/>
      <c r="G805" s="6"/>
      <c r="H805" s="6"/>
      <c r="L805" s="5"/>
      <c r="M805" s="6"/>
      <c r="P805" s="6"/>
      <c r="Q805" s="6"/>
      <c r="U805" s="5"/>
      <c r="V805" s="6"/>
      <c r="Y805" s="6"/>
      <c r="Z805" s="6"/>
      <c r="AD805" s="5"/>
      <c r="AE805" s="6"/>
      <c r="AH805" s="6"/>
      <c r="AI805" s="6"/>
      <c r="AM805" s="5"/>
      <c r="AN805" s="6"/>
      <c r="AQ805" s="6"/>
      <c r="AR805" s="6"/>
    </row>
    <row r="806" spans="3:44" ht="13.2" x14ac:dyDescent="0.25">
      <c r="C806" s="5"/>
      <c r="D806" s="6"/>
      <c r="G806" s="6"/>
      <c r="H806" s="6"/>
      <c r="L806" s="5"/>
      <c r="M806" s="6"/>
      <c r="P806" s="6"/>
      <c r="Q806" s="6"/>
      <c r="U806" s="5"/>
      <c r="V806" s="6"/>
      <c r="Y806" s="6"/>
      <c r="Z806" s="6"/>
      <c r="AD806" s="5"/>
      <c r="AE806" s="6"/>
      <c r="AH806" s="6"/>
      <c r="AI806" s="6"/>
      <c r="AM806" s="5"/>
      <c r="AN806" s="6"/>
      <c r="AQ806" s="6"/>
      <c r="AR806" s="6"/>
    </row>
    <row r="807" spans="3:44" ht="13.2" x14ac:dyDescent="0.25">
      <c r="C807" s="5"/>
      <c r="D807" s="6"/>
      <c r="G807" s="6"/>
      <c r="H807" s="6"/>
      <c r="L807" s="5"/>
      <c r="M807" s="6"/>
      <c r="P807" s="6"/>
      <c r="Q807" s="6"/>
      <c r="U807" s="5"/>
      <c r="V807" s="6"/>
      <c r="Y807" s="6"/>
      <c r="Z807" s="6"/>
      <c r="AD807" s="5"/>
      <c r="AE807" s="6"/>
      <c r="AH807" s="6"/>
      <c r="AI807" s="6"/>
      <c r="AM807" s="5"/>
      <c r="AN807" s="6"/>
      <c r="AQ807" s="6"/>
      <c r="AR807" s="6"/>
    </row>
    <row r="808" spans="3:44" ht="13.2" x14ac:dyDescent="0.25">
      <c r="C808" s="5"/>
      <c r="D808" s="6"/>
      <c r="G808" s="6"/>
      <c r="H808" s="6"/>
      <c r="L808" s="5"/>
      <c r="M808" s="6"/>
      <c r="P808" s="6"/>
      <c r="Q808" s="6"/>
      <c r="U808" s="5"/>
      <c r="V808" s="6"/>
      <c r="Y808" s="6"/>
      <c r="Z808" s="6"/>
      <c r="AD808" s="5"/>
      <c r="AE808" s="6"/>
      <c r="AH808" s="6"/>
      <c r="AI808" s="6"/>
      <c r="AM808" s="5"/>
      <c r="AN808" s="6"/>
      <c r="AQ808" s="6"/>
      <c r="AR808" s="6"/>
    </row>
    <row r="809" spans="3:44" ht="13.2" x14ac:dyDescent="0.25">
      <c r="C809" s="5"/>
      <c r="D809" s="6"/>
      <c r="G809" s="6"/>
      <c r="H809" s="6"/>
      <c r="L809" s="5"/>
      <c r="M809" s="6"/>
      <c r="P809" s="6"/>
      <c r="Q809" s="6"/>
      <c r="U809" s="5"/>
      <c r="V809" s="6"/>
      <c r="Y809" s="6"/>
      <c r="Z809" s="6"/>
      <c r="AD809" s="5"/>
      <c r="AE809" s="6"/>
      <c r="AH809" s="6"/>
      <c r="AI809" s="6"/>
      <c r="AM809" s="5"/>
      <c r="AN809" s="6"/>
      <c r="AQ809" s="6"/>
      <c r="AR809" s="6"/>
    </row>
    <row r="810" spans="3:44" ht="13.2" x14ac:dyDescent="0.25">
      <c r="C810" s="5"/>
      <c r="D810" s="6"/>
      <c r="G810" s="6"/>
      <c r="H810" s="6"/>
      <c r="L810" s="5"/>
      <c r="M810" s="6"/>
      <c r="P810" s="6"/>
      <c r="Q810" s="6"/>
      <c r="U810" s="5"/>
      <c r="V810" s="6"/>
      <c r="Y810" s="6"/>
      <c r="Z810" s="6"/>
      <c r="AD810" s="5"/>
      <c r="AE810" s="6"/>
      <c r="AH810" s="6"/>
      <c r="AI810" s="6"/>
      <c r="AM810" s="5"/>
      <c r="AN810" s="6"/>
      <c r="AQ810" s="6"/>
      <c r="AR810" s="6"/>
    </row>
    <row r="811" spans="3:44" ht="13.2" x14ac:dyDescent="0.25">
      <c r="C811" s="5"/>
      <c r="D811" s="6"/>
      <c r="G811" s="6"/>
      <c r="H811" s="6"/>
      <c r="L811" s="5"/>
      <c r="M811" s="6"/>
      <c r="P811" s="6"/>
      <c r="Q811" s="6"/>
      <c r="U811" s="5"/>
      <c r="V811" s="6"/>
      <c r="Y811" s="6"/>
      <c r="Z811" s="6"/>
      <c r="AD811" s="5"/>
      <c r="AE811" s="6"/>
      <c r="AH811" s="6"/>
      <c r="AI811" s="6"/>
      <c r="AM811" s="5"/>
      <c r="AN811" s="6"/>
      <c r="AQ811" s="6"/>
      <c r="AR811" s="6"/>
    </row>
    <row r="812" spans="3:44" ht="13.2" x14ac:dyDescent="0.25">
      <c r="C812" s="5"/>
      <c r="D812" s="6"/>
      <c r="G812" s="6"/>
      <c r="H812" s="6"/>
      <c r="L812" s="5"/>
      <c r="M812" s="6"/>
      <c r="P812" s="6"/>
      <c r="Q812" s="6"/>
      <c r="U812" s="5"/>
      <c r="V812" s="6"/>
      <c r="Y812" s="6"/>
      <c r="Z812" s="6"/>
      <c r="AD812" s="5"/>
      <c r="AE812" s="6"/>
      <c r="AH812" s="6"/>
      <c r="AI812" s="6"/>
      <c r="AM812" s="5"/>
      <c r="AN812" s="6"/>
      <c r="AQ812" s="6"/>
      <c r="AR812" s="6"/>
    </row>
    <row r="813" spans="3:44" ht="13.2" x14ac:dyDescent="0.25">
      <c r="C813" s="5"/>
      <c r="D813" s="6"/>
      <c r="G813" s="6"/>
      <c r="H813" s="6"/>
      <c r="L813" s="5"/>
      <c r="M813" s="6"/>
      <c r="P813" s="6"/>
      <c r="Q813" s="6"/>
      <c r="U813" s="5"/>
      <c r="V813" s="6"/>
      <c r="Y813" s="6"/>
      <c r="Z813" s="6"/>
      <c r="AD813" s="5"/>
      <c r="AE813" s="6"/>
      <c r="AH813" s="6"/>
      <c r="AI813" s="6"/>
      <c r="AM813" s="5"/>
      <c r="AN813" s="6"/>
      <c r="AQ813" s="6"/>
      <c r="AR813" s="6"/>
    </row>
    <row r="814" spans="3:44" ht="13.2" x14ac:dyDescent="0.25">
      <c r="C814" s="5"/>
      <c r="D814" s="6"/>
      <c r="G814" s="6"/>
      <c r="H814" s="6"/>
      <c r="L814" s="5"/>
      <c r="M814" s="6"/>
      <c r="P814" s="6"/>
      <c r="Q814" s="6"/>
      <c r="U814" s="5"/>
      <c r="V814" s="6"/>
      <c r="Y814" s="6"/>
      <c r="Z814" s="6"/>
      <c r="AD814" s="5"/>
      <c r="AE814" s="6"/>
      <c r="AH814" s="6"/>
      <c r="AI814" s="6"/>
      <c r="AM814" s="5"/>
      <c r="AN814" s="6"/>
      <c r="AQ814" s="6"/>
      <c r="AR814" s="6"/>
    </row>
    <row r="815" spans="3:44" ht="13.2" x14ac:dyDescent="0.25">
      <c r="C815" s="5"/>
      <c r="D815" s="6"/>
      <c r="G815" s="6"/>
      <c r="H815" s="6"/>
      <c r="L815" s="5"/>
      <c r="M815" s="6"/>
      <c r="P815" s="6"/>
      <c r="Q815" s="6"/>
      <c r="U815" s="5"/>
      <c r="V815" s="6"/>
      <c r="Y815" s="6"/>
      <c r="Z815" s="6"/>
      <c r="AD815" s="5"/>
      <c r="AE815" s="6"/>
      <c r="AH815" s="6"/>
      <c r="AI815" s="6"/>
      <c r="AM815" s="5"/>
      <c r="AN815" s="6"/>
      <c r="AQ815" s="6"/>
      <c r="AR815" s="6"/>
    </row>
    <row r="816" spans="3:44" ht="13.2" x14ac:dyDescent="0.25">
      <c r="C816" s="5"/>
      <c r="D816" s="6"/>
      <c r="G816" s="6"/>
      <c r="H816" s="6"/>
      <c r="L816" s="5"/>
      <c r="M816" s="6"/>
      <c r="P816" s="6"/>
      <c r="Q816" s="6"/>
      <c r="U816" s="5"/>
      <c r="V816" s="6"/>
      <c r="Y816" s="6"/>
      <c r="Z816" s="6"/>
      <c r="AD816" s="5"/>
      <c r="AE816" s="6"/>
      <c r="AH816" s="6"/>
      <c r="AI816" s="6"/>
      <c r="AM816" s="5"/>
      <c r="AN816" s="6"/>
      <c r="AQ816" s="6"/>
      <c r="AR816" s="6"/>
    </row>
    <row r="817" spans="3:44" ht="13.2" x14ac:dyDescent="0.25">
      <c r="C817" s="5"/>
      <c r="D817" s="6"/>
      <c r="G817" s="6"/>
      <c r="H817" s="6"/>
      <c r="L817" s="5"/>
      <c r="M817" s="6"/>
      <c r="P817" s="6"/>
      <c r="Q817" s="6"/>
      <c r="U817" s="5"/>
      <c r="V817" s="6"/>
      <c r="Y817" s="6"/>
      <c r="Z817" s="6"/>
      <c r="AD817" s="5"/>
      <c r="AE817" s="6"/>
      <c r="AH817" s="6"/>
      <c r="AI817" s="6"/>
      <c r="AM817" s="5"/>
      <c r="AN817" s="6"/>
      <c r="AQ817" s="6"/>
      <c r="AR817" s="6"/>
    </row>
    <row r="818" spans="3:44" ht="13.2" x14ac:dyDescent="0.25">
      <c r="C818" s="5"/>
      <c r="D818" s="6"/>
      <c r="G818" s="6"/>
      <c r="H818" s="6"/>
      <c r="L818" s="5"/>
      <c r="M818" s="6"/>
      <c r="P818" s="6"/>
      <c r="Q818" s="6"/>
      <c r="U818" s="5"/>
      <c r="V818" s="6"/>
      <c r="Y818" s="6"/>
      <c r="Z818" s="6"/>
      <c r="AD818" s="5"/>
      <c r="AE818" s="6"/>
      <c r="AH818" s="6"/>
      <c r="AI818" s="6"/>
      <c r="AM818" s="5"/>
      <c r="AN818" s="6"/>
      <c r="AQ818" s="6"/>
      <c r="AR818" s="6"/>
    </row>
    <row r="819" spans="3:44" ht="13.2" x14ac:dyDescent="0.25">
      <c r="C819" s="5"/>
      <c r="D819" s="6"/>
      <c r="G819" s="6"/>
      <c r="H819" s="6"/>
      <c r="L819" s="5"/>
      <c r="M819" s="6"/>
      <c r="P819" s="6"/>
      <c r="Q819" s="6"/>
      <c r="U819" s="5"/>
      <c r="V819" s="6"/>
      <c r="Y819" s="6"/>
      <c r="Z819" s="6"/>
      <c r="AD819" s="5"/>
      <c r="AE819" s="6"/>
      <c r="AH819" s="6"/>
      <c r="AI819" s="6"/>
      <c r="AM819" s="5"/>
      <c r="AN819" s="6"/>
      <c r="AQ819" s="6"/>
      <c r="AR819" s="6"/>
    </row>
    <row r="820" spans="3:44" ht="13.2" x14ac:dyDescent="0.25">
      <c r="C820" s="5"/>
      <c r="D820" s="6"/>
      <c r="G820" s="6"/>
      <c r="H820" s="6"/>
      <c r="L820" s="5"/>
      <c r="M820" s="6"/>
      <c r="P820" s="6"/>
      <c r="Q820" s="6"/>
      <c r="U820" s="5"/>
      <c r="V820" s="6"/>
      <c r="Y820" s="6"/>
      <c r="Z820" s="6"/>
      <c r="AD820" s="5"/>
      <c r="AE820" s="6"/>
      <c r="AH820" s="6"/>
      <c r="AI820" s="6"/>
      <c r="AM820" s="5"/>
      <c r="AN820" s="6"/>
      <c r="AQ820" s="6"/>
      <c r="AR820" s="6"/>
    </row>
    <row r="821" spans="3:44" ht="13.2" x14ac:dyDescent="0.25">
      <c r="C821" s="5"/>
      <c r="D821" s="6"/>
      <c r="G821" s="6"/>
      <c r="H821" s="6"/>
      <c r="L821" s="5"/>
      <c r="M821" s="6"/>
      <c r="P821" s="6"/>
      <c r="Q821" s="6"/>
      <c r="U821" s="5"/>
      <c r="V821" s="6"/>
      <c r="Y821" s="6"/>
      <c r="Z821" s="6"/>
      <c r="AD821" s="5"/>
      <c r="AE821" s="6"/>
      <c r="AH821" s="6"/>
      <c r="AI821" s="6"/>
      <c r="AM821" s="5"/>
      <c r="AN821" s="6"/>
      <c r="AQ821" s="6"/>
      <c r="AR821" s="6"/>
    </row>
    <row r="822" spans="3:44" ht="13.2" x14ac:dyDescent="0.25">
      <c r="C822" s="5"/>
      <c r="D822" s="6"/>
      <c r="G822" s="6"/>
      <c r="H822" s="6"/>
      <c r="L822" s="5"/>
      <c r="M822" s="6"/>
      <c r="P822" s="6"/>
      <c r="Q822" s="6"/>
      <c r="U822" s="5"/>
      <c r="V822" s="6"/>
      <c r="Y822" s="6"/>
      <c r="Z822" s="6"/>
      <c r="AD822" s="5"/>
      <c r="AE822" s="6"/>
      <c r="AH822" s="6"/>
      <c r="AI822" s="6"/>
      <c r="AM822" s="5"/>
      <c r="AN822" s="6"/>
      <c r="AQ822" s="6"/>
      <c r="AR822" s="6"/>
    </row>
    <row r="823" spans="3:44" ht="13.2" x14ac:dyDescent="0.25">
      <c r="C823" s="5"/>
      <c r="D823" s="6"/>
      <c r="G823" s="6"/>
      <c r="H823" s="6"/>
      <c r="L823" s="5"/>
      <c r="M823" s="6"/>
      <c r="P823" s="6"/>
      <c r="Q823" s="6"/>
      <c r="U823" s="5"/>
      <c r="V823" s="6"/>
      <c r="Y823" s="6"/>
      <c r="Z823" s="6"/>
      <c r="AD823" s="5"/>
      <c r="AE823" s="6"/>
      <c r="AH823" s="6"/>
      <c r="AI823" s="6"/>
      <c r="AM823" s="5"/>
      <c r="AN823" s="6"/>
      <c r="AQ823" s="6"/>
      <c r="AR823" s="6"/>
    </row>
    <row r="824" spans="3:44" ht="13.2" x14ac:dyDescent="0.25">
      <c r="C824" s="5"/>
      <c r="D824" s="6"/>
      <c r="G824" s="6"/>
      <c r="H824" s="6"/>
      <c r="L824" s="5"/>
      <c r="M824" s="6"/>
      <c r="P824" s="6"/>
      <c r="Q824" s="6"/>
      <c r="U824" s="5"/>
      <c r="V824" s="6"/>
      <c r="Y824" s="6"/>
      <c r="Z824" s="6"/>
      <c r="AD824" s="5"/>
      <c r="AE824" s="6"/>
      <c r="AH824" s="6"/>
      <c r="AI824" s="6"/>
      <c r="AM824" s="5"/>
      <c r="AN824" s="6"/>
      <c r="AQ824" s="6"/>
      <c r="AR824" s="6"/>
    </row>
    <row r="825" spans="3:44" ht="13.2" x14ac:dyDescent="0.25">
      <c r="C825" s="5"/>
      <c r="D825" s="6"/>
      <c r="G825" s="6"/>
      <c r="H825" s="6"/>
      <c r="L825" s="5"/>
      <c r="M825" s="6"/>
      <c r="P825" s="6"/>
      <c r="Q825" s="6"/>
      <c r="U825" s="5"/>
      <c r="V825" s="6"/>
      <c r="Y825" s="6"/>
      <c r="Z825" s="6"/>
      <c r="AD825" s="5"/>
      <c r="AE825" s="6"/>
      <c r="AH825" s="6"/>
      <c r="AI825" s="6"/>
      <c r="AM825" s="5"/>
      <c r="AN825" s="6"/>
      <c r="AQ825" s="6"/>
      <c r="AR825" s="6"/>
    </row>
    <row r="826" spans="3:44" ht="13.2" x14ac:dyDescent="0.25">
      <c r="C826" s="5"/>
      <c r="D826" s="6"/>
      <c r="G826" s="6"/>
      <c r="H826" s="6"/>
      <c r="L826" s="5"/>
      <c r="M826" s="6"/>
      <c r="P826" s="6"/>
      <c r="Q826" s="6"/>
      <c r="U826" s="5"/>
      <c r="V826" s="6"/>
      <c r="Y826" s="6"/>
      <c r="Z826" s="6"/>
      <c r="AD826" s="5"/>
      <c r="AE826" s="6"/>
      <c r="AH826" s="6"/>
      <c r="AI826" s="6"/>
      <c r="AM826" s="5"/>
      <c r="AN826" s="6"/>
      <c r="AQ826" s="6"/>
      <c r="AR826" s="6"/>
    </row>
    <row r="827" spans="3:44" ht="13.2" x14ac:dyDescent="0.25">
      <c r="C827" s="5"/>
      <c r="D827" s="6"/>
      <c r="G827" s="6"/>
      <c r="H827" s="6"/>
      <c r="L827" s="5"/>
      <c r="M827" s="6"/>
      <c r="P827" s="6"/>
      <c r="Q827" s="6"/>
      <c r="U827" s="5"/>
      <c r="V827" s="6"/>
      <c r="Y827" s="6"/>
      <c r="Z827" s="6"/>
      <c r="AD827" s="5"/>
      <c r="AE827" s="6"/>
      <c r="AH827" s="6"/>
      <c r="AI827" s="6"/>
      <c r="AM827" s="5"/>
      <c r="AN827" s="6"/>
      <c r="AQ827" s="6"/>
      <c r="AR827" s="6"/>
    </row>
    <row r="828" spans="3:44" ht="13.2" x14ac:dyDescent="0.25">
      <c r="C828" s="5"/>
      <c r="D828" s="6"/>
      <c r="G828" s="6"/>
      <c r="H828" s="6"/>
      <c r="L828" s="5"/>
      <c r="M828" s="6"/>
      <c r="P828" s="6"/>
      <c r="Q828" s="6"/>
      <c r="U828" s="5"/>
      <c r="V828" s="6"/>
      <c r="Y828" s="6"/>
      <c r="Z828" s="6"/>
      <c r="AD828" s="5"/>
      <c r="AE828" s="6"/>
      <c r="AH828" s="6"/>
      <c r="AI828" s="6"/>
      <c r="AM828" s="5"/>
      <c r="AN828" s="6"/>
      <c r="AQ828" s="6"/>
      <c r="AR828" s="6"/>
    </row>
    <row r="829" spans="3:44" ht="13.2" x14ac:dyDescent="0.25">
      <c r="C829" s="5"/>
      <c r="D829" s="6"/>
      <c r="G829" s="6"/>
      <c r="H829" s="6"/>
      <c r="L829" s="5"/>
      <c r="M829" s="6"/>
      <c r="P829" s="6"/>
      <c r="Q829" s="6"/>
      <c r="U829" s="5"/>
      <c r="V829" s="6"/>
      <c r="Y829" s="6"/>
      <c r="Z829" s="6"/>
      <c r="AD829" s="5"/>
      <c r="AE829" s="6"/>
      <c r="AH829" s="6"/>
      <c r="AI829" s="6"/>
      <c r="AM829" s="5"/>
      <c r="AN829" s="6"/>
      <c r="AQ829" s="6"/>
      <c r="AR829" s="6"/>
    </row>
    <row r="830" spans="3:44" ht="13.2" x14ac:dyDescent="0.25">
      <c r="C830" s="5"/>
      <c r="D830" s="6"/>
      <c r="G830" s="6"/>
      <c r="H830" s="6"/>
      <c r="L830" s="5"/>
      <c r="M830" s="6"/>
      <c r="P830" s="6"/>
      <c r="Q830" s="6"/>
      <c r="U830" s="5"/>
      <c r="V830" s="6"/>
      <c r="Y830" s="6"/>
      <c r="Z830" s="6"/>
      <c r="AD830" s="5"/>
      <c r="AE830" s="6"/>
      <c r="AH830" s="6"/>
      <c r="AI830" s="6"/>
      <c r="AM830" s="5"/>
      <c r="AN830" s="6"/>
      <c r="AQ830" s="6"/>
      <c r="AR830" s="6"/>
    </row>
    <row r="831" spans="3:44" ht="13.2" x14ac:dyDescent="0.25">
      <c r="C831" s="5"/>
      <c r="D831" s="6"/>
      <c r="G831" s="6"/>
      <c r="H831" s="6"/>
      <c r="L831" s="5"/>
      <c r="M831" s="6"/>
      <c r="P831" s="6"/>
      <c r="Q831" s="6"/>
      <c r="U831" s="5"/>
      <c r="V831" s="6"/>
      <c r="Y831" s="6"/>
      <c r="Z831" s="6"/>
      <c r="AD831" s="5"/>
      <c r="AE831" s="6"/>
      <c r="AH831" s="6"/>
      <c r="AI831" s="6"/>
      <c r="AM831" s="5"/>
      <c r="AN831" s="6"/>
      <c r="AQ831" s="6"/>
      <c r="AR831" s="6"/>
    </row>
    <row r="832" spans="3:44" ht="13.2" x14ac:dyDescent="0.25">
      <c r="C832" s="5"/>
      <c r="D832" s="6"/>
      <c r="G832" s="6"/>
      <c r="H832" s="6"/>
      <c r="L832" s="5"/>
      <c r="M832" s="6"/>
      <c r="P832" s="6"/>
      <c r="Q832" s="6"/>
      <c r="U832" s="5"/>
      <c r="V832" s="6"/>
      <c r="Y832" s="6"/>
      <c r="Z832" s="6"/>
      <c r="AD832" s="5"/>
      <c r="AE832" s="6"/>
      <c r="AH832" s="6"/>
      <c r="AI832" s="6"/>
      <c r="AM832" s="5"/>
      <c r="AN832" s="6"/>
      <c r="AQ832" s="6"/>
      <c r="AR832" s="6"/>
    </row>
    <row r="833" spans="3:44" ht="13.2" x14ac:dyDescent="0.25">
      <c r="C833" s="5"/>
      <c r="D833" s="6"/>
      <c r="G833" s="6"/>
      <c r="H833" s="6"/>
      <c r="L833" s="5"/>
      <c r="M833" s="6"/>
      <c r="P833" s="6"/>
      <c r="Q833" s="6"/>
      <c r="U833" s="5"/>
      <c r="V833" s="6"/>
      <c r="Y833" s="6"/>
      <c r="Z833" s="6"/>
      <c r="AD833" s="5"/>
      <c r="AE833" s="6"/>
      <c r="AH833" s="6"/>
      <c r="AI833" s="6"/>
      <c r="AM833" s="5"/>
      <c r="AN833" s="6"/>
      <c r="AQ833" s="6"/>
      <c r="AR833" s="6"/>
    </row>
    <row r="834" spans="3:44" ht="13.2" x14ac:dyDescent="0.25">
      <c r="C834" s="5"/>
      <c r="D834" s="6"/>
      <c r="G834" s="6"/>
      <c r="H834" s="6"/>
      <c r="L834" s="5"/>
      <c r="M834" s="6"/>
      <c r="P834" s="6"/>
      <c r="Q834" s="6"/>
      <c r="U834" s="5"/>
      <c r="V834" s="6"/>
      <c r="Y834" s="6"/>
      <c r="Z834" s="6"/>
      <c r="AD834" s="5"/>
      <c r="AE834" s="6"/>
      <c r="AH834" s="6"/>
      <c r="AI834" s="6"/>
      <c r="AM834" s="5"/>
      <c r="AN834" s="6"/>
      <c r="AQ834" s="6"/>
      <c r="AR834" s="6"/>
    </row>
    <row r="835" spans="3:44" ht="13.2" x14ac:dyDescent="0.25">
      <c r="C835" s="5"/>
      <c r="D835" s="6"/>
      <c r="G835" s="6"/>
      <c r="H835" s="6"/>
      <c r="L835" s="5"/>
      <c r="M835" s="6"/>
      <c r="P835" s="6"/>
      <c r="Q835" s="6"/>
      <c r="U835" s="5"/>
      <c r="V835" s="6"/>
      <c r="Y835" s="6"/>
      <c r="Z835" s="6"/>
      <c r="AD835" s="5"/>
      <c r="AE835" s="6"/>
      <c r="AH835" s="6"/>
      <c r="AI835" s="6"/>
      <c r="AM835" s="5"/>
      <c r="AN835" s="6"/>
      <c r="AQ835" s="6"/>
      <c r="AR835" s="6"/>
    </row>
    <row r="836" spans="3:44" ht="13.2" x14ac:dyDescent="0.25">
      <c r="C836" s="5"/>
      <c r="D836" s="6"/>
      <c r="G836" s="6"/>
      <c r="H836" s="6"/>
      <c r="L836" s="5"/>
      <c r="M836" s="6"/>
      <c r="P836" s="6"/>
      <c r="Q836" s="6"/>
      <c r="U836" s="5"/>
      <c r="V836" s="6"/>
      <c r="Y836" s="6"/>
      <c r="Z836" s="6"/>
      <c r="AD836" s="5"/>
      <c r="AE836" s="6"/>
      <c r="AH836" s="6"/>
      <c r="AI836" s="6"/>
      <c r="AM836" s="5"/>
      <c r="AN836" s="6"/>
      <c r="AQ836" s="6"/>
      <c r="AR836" s="6"/>
    </row>
    <row r="837" spans="3:44" ht="13.2" x14ac:dyDescent="0.25">
      <c r="C837" s="5"/>
      <c r="D837" s="6"/>
      <c r="G837" s="6"/>
      <c r="H837" s="6"/>
      <c r="L837" s="5"/>
      <c r="M837" s="6"/>
      <c r="P837" s="6"/>
      <c r="Q837" s="6"/>
      <c r="U837" s="5"/>
      <c r="V837" s="6"/>
      <c r="Y837" s="6"/>
      <c r="Z837" s="6"/>
      <c r="AD837" s="5"/>
      <c r="AE837" s="6"/>
      <c r="AH837" s="6"/>
      <c r="AI837" s="6"/>
      <c r="AM837" s="5"/>
      <c r="AN837" s="6"/>
      <c r="AQ837" s="6"/>
      <c r="AR837" s="6"/>
    </row>
    <row r="838" spans="3:44" ht="13.2" x14ac:dyDescent="0.25">
      <c r="C838" s="5"/>
      <c r="D838" s="6"/>
      <c r="G838" s="6"/>
      <c r="H838" s="6"/>
      <c r="L838" s="5"/>
      <c r="M838" s="6"/>
      <c r="P838" s="6"/>
      <c r="Q838" s="6"/>
      <c r="U838" s="5"/>
      <c r="V838" s="6"/>
      <c r="Y838" s="6"/>
      <c r="Z838" s="6"/>
      <c r="AD838" s="5"/>
      <c r="AE838" s="6"/>
      <c r="AH838" s="6"/>
      <c r="AI838" s="6"/>
      <c r="AM838" s="5"/>
      <c r="AN838" s="6"/>
      <c r="AQ838" s="6"/>
      <c r="AR838" s="6"/>
    </row>
    <row r="839" spans="3:44" ht="13.2" x14ac:dyDescent="0.25">
      <c r="C839" s="5"/>
      <c r="D839" s="6"/>
      <c r="G839" s="6"/>
      <c r="H839" s="6"/>
      <c r="L839" s="5"/>
      <c r="M839" s="6"/>
      <c r="P839" s="6"/>
      <c r="Q839" s="6"/>
      <c r="U839" s="5"/>
      <c r="V839" s="6"/>
      <c r="Y839" s="6"/>
      <c r="Z839" s="6"/>
      <c r="AD839" s="5"/>
      <c r="AE839" s="6"/>
      <c r="AH839" s="6"/>
      <c r="AI839" s="6"/>
      <c r="AM839" s="5"/>
      <c r="AN839" s="6"/>
      <c r="AQ839" s="6"/>
      <c r="AR839" s="6"/>
    </row>
    <row r="840" spans="3:44" ht="13.2" x14ac:dyDescent="0.25">
      <c r="C840" s="5"/>
      <c r="D840" s="6"/>
      <c r="G840" s="6"/>
      <c r="H840" s="6"/>
      <c r="L840" s="5"/>
      <c r="M840" s="6"/>
      <c r="P840" s="6"/>
      <c r="Q840" s="6"/>
      <c r="U840" s="5"/>
      <c r="V840" s="6"/>
      <c r="Y840" s="6"/>
      <c r="Z840" s="6"/>
      <c r="AD840" s="5"/>
      <c r="AE840" s="6"/>
      <c r="AH840" s="6"/>
      <c r="AI840" s="6"/>
      <c r="AM840" s="5"/>
      <c r="AN840" s="6"/>
      <c r="AQ840" s="6"/>
      <c r="AR840" s="6"/>
    </row>
    <row r="841" spans="3:44" ht="13.2" x14ac:dyDescent="0.25">
      <c r="C841" s="5"/>
      <c r="D841" s="6"/>
      <c r="G841" s="6"/>
      <c r="H841" s="6"/>
      <c r="L841" s="5"/>
      <c r="M841" s="6"/>
      <c r="P841" s="6"/>
      <c r="Q841" s="6"/>
      <c r="U841" s="5"/>
      <c r="V841" s="6"/>
      <c r="Y841" s="6"/>
      <c r="Z841" s="6"/>
      <c r="AD841" s="5"/>
      <c r="AE841" s="6"/>
      <c r="AH841" s="6"/>
      <c r="AI841" s="6"/>
      <c r="AM841" s="5"/>
      <c r="AN841" s="6"/>
      <c r="AQ841" s="6"/>
      <c r="AR841" s="6"/>
    </row>
    <row r="842" spans="3:44" ht="13.2" x14ac:dyDescent="0.25">
      <c r="C842" s="5"/>
      <c r="D842" s="6"/>
      <c r="G842" s="6"/>
      <c r="H842" s="6"/>
      <c r="L842" s="5"/>
      <c r="M842" s="6"/>
      <c r="P842" s="6"/>
      <c r="Q842" s="6"/>
      <c r="U842" s="5"/>
      <c r="V842" s="6"/>
      <c r="Y842" s="6"/>
      <c r="Z842" s="6"/>
      <c r="AD842" s="5"/>
      <c r="AE842" s="6"/>
      <c r="AH842" s="6"/>
      <c r="AI842" s="6"/>
      <c r="AM842" s="5"/>
      <c r="AN842" s="6"/>
      <c r="AQ842" s="6"/>
      <c r="AR842" s="6"/>
    </row>
    <row r="843" spans="3:44" ht="13.2" x14ac:dyDescent="0.25">
      <c r="C843" s="5"/>
      <c r="D843" s="6"/>
      <c r="G843" s="6"/>
      <c r="H843" s="6"/>
      <c r="L843" s="5"/>
      <c r="M843" s="6"/>
      <c r="P843" s="6"/>
      <c r="Q843" s="6"/>
      <c r="U843" s="5"/>
      <c r="V843" s="6"/>
      <c r="Y843" s="6"/>
      <c r="Z843" s="6"/>
      <c r="AD843" s="5"/>
      <c r="AE843" s="6"/>
      <c r="AH843" s="6"/>
      <c r="AI843" s="6"/>
      <c r="AM843" s="5"/>
      <c r="AN843" s="6"/>
      <c r="AQ843" s="6"/>
      <c r="AR843" s="6"/>
    </row>
    <row r="844" spans="3:44" ht="13.2" x14ac:dyDescent="0.25">
      <c r="C844" s="5"/>
      <c r="D844" s="6"/>
      <c r="G844" s="6"/>
      <c r="H844" s="6"/>
      <c r="L844" s="5"/>
      <c r="M844" s="6"/>
      <c r="P844" s="6"/>
      <c r="Q844" s="6"/>
      <c r="U844" s="5"/>
      <c r="V844" s="6"/>
      <c r="Y844" s="6"/>
      <c r="Z844" s="6"/>
      <c r="AD844" s="5"/>
      <c r="AE844" s="6"/>
      <c r="AH844" s="6"/>
      <c r="AI844" s="6"/>
      <c r="AM844" s="5"/>
      <c r="AN844" s="6"/>
      <c r="AQ844" s="6"/>
      <c r="AR844" s="6"/>
    </row>
    <row r="845" spans="3:44" ht="13.2" x14ac:dyDescent="0.25">
      <c r="C845" s="5"/>
      <c r="D845" s="6"/>
      <c r="G845" s="6"/>
      <c r="H845" s="6"/>
      <c r="L845" s="5"/>
      <c r="M845" s="6"/>
      <c r="P845" s="6"/>
      <c r="Q845" s="6"/>
      <c r="U845" s="5"/>
      <c r="V845" s="6"/>
      <c r="Y845" s="6"/>
      <c r="Z845" s="6"/>
      <c r="AD845" s="5"/>
      <c r="AE845" s="6"/>
      <c r="AH845" s="6"/>
      <c r="AI845" s="6"/>
      <c r="AM845" s="5"/>
      <c r="AN845" s="6"/>
      <c r="AQ845" s="6"/>
      <c r="AR845" s="6"/>
    </row>
    <row r="846" spans="3:44" ht="13.2" x14ac:dyDescent="0.25">
      <c r="C846" s="5"/>
      <c r="D846" s="6"/>
      <c r="G846" s="6"/>
      <c r="H846" s="6"/>
      <c r="L846" s="5"/>
      <c r="M846" s="6"/>
      <c r="P846" s="6"/>
      <c r="Q846" s="6"/>
      <c r="U846" s="5"/>
      <c r="V846" s="6"/>
      <c r="Y846" s="6"/>
      <c r="Z846" s="6"/>
      <c r="AD846" s="5"/>
      <c r="AE846" s="6"/>
      <c r="AH846" s="6"/>
      <c r="AI846" s="6"/>
      <c r="AM846" s="5"/>
      <c r="AN846" s="6"/>
      <c r="AQ846" s="6"/>
      <c r="AR846" s="6"/>
    </row>
    <row r="847" spans="3:44" ht="13.2" x14ac:dyDescent="0.25">
      <c r="C847" s="5"/>
      <c r="D847" s="6"/>
      <c r="G847" s="6"/>
      <c r="H847" s="6"/>
      <c r="L847" s="5"/>
      <c r="M847" s="6"/>
      <c r="P847" s="6"/>
      <c r="Q847" s="6"/>
      <c r="U847" s="5"/>
      <c r="V847" s="6"/>
      <c r="Y847" s="6"/>
      <c r="Z847" s="6"/>
      <c r="AD847" s="5"/>
      <c r="AE847" s="6"/>
      <c r="AH847" s="6"/>
      <c r="AI847" s="6"/>
      <c r="AM847" s="5"/>
      <c r="AN847" s="6"/>
      <c r="AQ847" s="6"/>
      <c r="AR847" s="6"/>
    </row>
    <row r="848" spans="3:44" ht="13.2" x14ac:dyDescent="0.25">
      <c r="C848" s="5"/>
      <c r="D848" s="6"/>
      <c r="G848" s="6"/>
      <c r="H848" s="6"/>
      <c r="L848" s="5"/>
      <c r="M848" s="6"/>
      <c r="P848" s="6"/>
      <c r="Q848" s="6"/>
      <c r="U848" s="5"/>
      <c r="V848" s="6"/>
      <c r="Y848" s="6"/>
      <c r="Z848" s="6"/>
      <c r="AD848" s="5"/>
      <c r="AE848" s="6"/>
      <c r="AH848" s="6"/>
      <c r="AI848" s="6"/>
      <c r="AM848" s="5"/>
      <c r="AN848" s="6"/>
      <c r="AQ848" s="6"/>
      <c r="AR848" s="6"/>
    </row>
    <row r="849" spans="3:44" ht="13.2" x14ac:dyDescent="0.25">
      <c r="C849" s="5"/>
      <c r="D849" s="6"/>
      <c r="G849" s="6"/>
      <c r="H849" s="6"/>
      <c r="L849" s="5"/>
      <c r="M849" s="6"/>
      <c r="P849" s="6"/>
      <c r="Q849" s="6"/>
      <c r="U849" s="5"/>
      <c r="V849" s="6"/>
      <c r="Y849" s="6"/>
      <c r="Z849" s="6"/>
      <c r="AD849" s="5"/>
      <c r="AE849" s="6"/>
      <c r="AH849" s="6"/>
      <c r="AI849" s="6"/>
      <c r="AM849" s="5"/>
      <c r="AN849" s="6"/>
      <c r="AQ849" s="6"/>
      <c r="AR849" s="6"/>
    </row>
    <row r="850" spans="3:44" ht="13.2" x14ac:dyDescent="0.25">
      <c r="C850" s="5"/>
      <c r="D850" s="6"/>
      <c r="G850" s="6"/>
      <c r="H850" s="6"/>
      <c r="L850" s="5"/>
      <c r="M850" s="6"/>
      <c r="P850" s="6"/>
      <c r="Q850" s="6"/>
      <c r="U850" s="5"/>
      <c r="V850" s="6"/>
      <c r="Y850" s="6"/>
      <c r="Z850" s="6"/>
      <c r="AD850" s="5"/>
      <c r="AE850" s="6"/>
      <c r="AH850" s="6"/>
      <c r="AI850" s="6"/>
      <c r="AM850" s="5"/>
      <c r="AN850" s="6"/>
      <c r="AQ850" s="6"/>
      <c r="AR850" s="6"/>
    </row>
    <row r="851" spans="3:44" ht="13.2" x14ac:dyDescent="0.25">
      <c r="C851" s="5"/>
      <c r="D851" s="6"/>
      <c r="G851" s="6"/>
      <c r="H851" s="6"/>
      <c r="L851" s="5"/>
      <c r="M851" s="6"/>
      <c r="P851" s="6"/>
      <c r="Q851" s="6"/>
      <c r="U851" s="5"/>
      <c r="V851" s="6"/>
      <c r="Y851" s="6"/>
      <c r="Z851" s="6"/>
      <c r="AD851" s="5"/>
      <c r="AE851" s="6"/>
      <c r="AH851" s="6"/>
      <c r="AI851" s="6"/>
      <c r="AM851" s="5"/>
      <c r="AN851" s="6"/>
      <c r="AQ851" s="6"/>
      <c r="AR851" s="6"/>
    </row>
    <row r="852" spans="3:44" ht="13.2" x14ac:dyDescent="0.25">
      <c r="C852" s="5"/>
      <c r="D852" s="6"/>
      <c r="G852" s="6"/>
      <c r="H852" s="6"/>
      <c r="L852" s="5"/>
      <c r="M852" s="6"/>
      <c r="P852" s="6"/>
      <c r="Q852" s="6"/>
      <c r="U852" s="5"/>
      <c r="V852" s="6"/>
      <c r="Y852" s="6"/>
      <c r="Z852" s="6"/>
      <c r="AD852" s="5"/>
      <c r="AE852" s="6"/>
      <c r="AH852" s="6"/>
      <c r="AI852" s="6"/>
      <c r="AM852" s="5"/>
      <c r="AN852" s="6"/>
      <c r="AQ852" s="6"/>
      <c r="AR852" s="6"/>
    </row>
    <row r="853" spans="3:44" ht="13.2" x14ac:dyDescent="0.25">
      <c r="C853" s="5"/>
      <c r="D853" s="6"/>
      <c r="G853" s="6"/>
      <c r="H853" s="6"/>
      <c r="L853" s="5"/>
      <c r="M853" s="6"/>
      <c r="P853" s="6"/>
      <c r="Q853" s="6"/>
      <c r="U853" s="5"/>
      <c r="V853" s="6"/>
      <c r="Y853" s="6"/>
      <c r="Z853" s="6"/>
      <c r="AD853" s="5"/>
      <c r="AE853" s="6"/>
      <c r="AH853" s="6"/>
      <c r="AI853" s="6"/>
      <c r="AM853" s="5"/>
      <c r="AN853" s="6"/>
      <c r="AQ853" s="6"/>
      <c r="AR853" s="6"/>
    </row>
    <row r="854" spans="3:44" ht="13.2" x14ac:dyDescent="0.25">
      <c r="C854" s="5"/>
      <c r="D854" s="6"/>
      <c r="G854" s="6"/>
      <c r="H854" s="6"/>
      <c r="L854" s="5"/>
      <c r="M854" s="6"/>
      <c r="P854" s="6"/>
      <c r="Q854" s="6"/>
      <c r="U854" s="5"/>
      <c r="V854" s="6"/>
      <c r="Y854" s="6"/>
      <c r="Z854" s="6"/>
      <c r="AD854" s="5"/>
      <c r="AE854" s="6"/>
      <c r="AH854" s="6"/>
      <c r="AI854" s="6"/>
      <c r="AM854" s="5"/>
      <c r="AN854" s="6"/>
      <c r="AQ854" s="6"/>
      <c r="AR854" s="6"/>
    </row>
    <row r="855" spans="3:44" ht="13.2" x14ac:dyDescent="0.25">
      <c r="C855" s="5"/>
      <c r="D855" s="6"/>
      <c r="G855" s="6"/>
      <c r="H855" s="6"/>
      <c r="L855" s="5"/>
      <c r="M855" s="6"/>
      <c r="P855" s="6"/>
      <c r="Q855" s="6"/>
      <c r="U855" s="5"/>
      <c r="V855" s="6"/>
      <c r="Y855" s="6"/>
      <c r="Z855" s="6"/>
      <c r="AD855" s="5"/>
      <c r="AE855" s="6"/>
      <c r="AH855" s="6"/>
      <c r="AI855" s="6"/>
      <c r="AM855" s="5"/>
      <c r="AN855" s="6"/>
      <c r="AQ855" s="6"/>
      <c r="AR855" s="6"/>
    </row>
    <row r="856" spans="3:44" ht="13.2" x14ac:dyDescent="0.25">
      <c r="C856" s="5"/>
      <c r="D856" s="6"/>
      <c r="G856" s="6"/>
      <c r="H856" s="6"/>
      <c r="L856" s="5"/>
      <c r="M856" s="6"/>
      <c r="P856" s="6"/>
      <c r="Q856" s="6"/>
      <c r="U856" s="5"/>
      <c r="V856" s="6"/>
      <c r="Y856" s="6"/>
      <c r="Z856" s="6"/>
      <c r="AD856" s="5"/>
      <c r="AE856" s="6"/>
      <c r="AH856" s="6"/>
      <c r="AI856" s="6"/>
      <c r="AM856" s="5"/>
      <c r="AN856" s="6"/>
      <c r="AQ856" s="6"/>
      <c r="AR856" s="6"/>
    </row>
    <row r="857" spans="3:44" ht="13.2" x14ac:dyDescent="0.25">
      <c r="C857" s="5"/>
      <c r="D857" s="6"/>
      <c r="G857" s="6"/>
      <c r="H857" s="6"/>
      <c r="L857" s="5"/>
      <c r="M857" s="6"/>
      <c r="P857" s="6"/>
      <c r="Q857" s="6"/>
      <c r="U857" s="5"/>
      <c r="V857" s="6"/>
      <c r="Y857" s="6"/>
      <c r="Z857" s="6"/>
      <c r="AD857" s="5"/>
      <c r="AE857" s="6"/>
      <c r="AH857" s="6"/>
      <c r="AI857" s="6"/>
      <c r="AM857" s="5"/>
      <c r="AN857" s="6"/>
      <c r="AQ857" s="6"/>
      <c r="AR857" s="6"/>
    </row>
    <row r="858" spans="3:44" ht="13.2" x14ac:dyDescent="0.25">
      <c r="C858" s="5"/>
      <c r="D858" s="6"/>
      <c r="G858" s="6"/>
      <c r="H858" s="6"/>
      <c r="L858" s="5"/>
      <c r="M858" s="6"/>
      <c r="P858" s="6"/>
      <c r="Q858" s="6"/>
      <c r="U858" s="5"/>
      <c r="V858" s="6"/>
      <c r="Y858" s="6"/>
      <c r="Z858" s="6"/>
      <c r="AD858" s="5"/>
      <c r="AE858" s="6"/>
      <c r="AH858" s="6"/>
      <c r="AI858" s="6"/>
      <c r="AM858" s="5"/>
      <c r="AN858" s="6"/>
      <c r="AQ858" s="6"/>
      <c r="AR858" s="6"/>
    </row>
    <row r="859" spans="3:44" ht="13.2" x14ac:dyDescent="0.25">
      <c r="C859" s="5"/>
      <c r="D859" s="6"/>
      <c r="G859" s="6"/>
      <c r="H859" s="6"/>
      <c r="L859" s="5"/>
      <c r="M859" s="6"/>
      <c r="P859" s="6"/>
      <c r="Q859" s="6"/>
      <c r="U859" s="5"/>
      <c r="V859" s="6"/>
      <c r="Y859" s="6"/>
      <c r="Z859" s="6"/>
      <c r="AD859" s="5"/>
      <c r="AE859" s="6"/>
      <c r="AH859" s="6"/>
      <c r="AI859" s="6"/>
      <c r="AM859" s="5"/>
      <c r="AN859" s="6"/>
      <c r="AQ859" s="6"/>
      <c r="AR859" s="6"/>
    </row>
    <row r="860" spans="3:44" ht="13.2" x14ac:dyDescent="0.25">
      <c r="C860" s="5"/>
      <c r="D860" s="6"/>
      <c r="G860" s="6"/>
      <c r="H860" s="6"/>
      <c r="L860" s="5"/>
      <c r="M860" s="6"/>
      <c r="P860" s="6"/>
      <c r="Q860" s="6"/>
      <c r="U860" s="5"/>
      <c r="V860" s="6"/>
      <c r="Y860" s="6"/>
      <c r="Z860" s="6"/>
      <c r="AD860" s="5"/>
      <c r="AE860" s="6"/>
      <c r="AH860" s="6"/>
      <c r="AI860" s="6"/>
      <c r="AM860" s="5"/>
      <c r="AN860" s="6"/>
      <c r="AQ860" s="6"/>
      <c r="AR860" s="6"/>
    </row>
    <row r="861" spans="3:44" ht="13.2" x14ac:dyDescent="0.25">
      <c r="C861" s="5"/>
      <c r="D861" s="6"/>
      <c r="G861" s="6"/>
      <c r="H861" s="6"/>
      <c r="L861" s="5"/>
      <c r="M861" s="6"/>
      <c r="P861" s="6"/>
      <c r="Q861" s="6"/>
      <c r="U861" s="5"/>
      <c r="V861" s="6"/>
      <c r="Y861" s="6"/>
      <c r="Z861" s="6"/>
      <c r="AD861" s="5"/>
      <c r="AE861" s="6"/>
      <c r="AH861" s="6"/>
      <c r="AI861" s="6"/>
      <c r="AM861" s="5"/>
      <c r="AN861" s="6"/>
      <c r="AQ861" s="6"/>
      <c r="AR861" s="6"/>
    </row>
    <row r="862" spans="3:44" ht="13.2" x14ac:dyDescent="0.25">
      <c r="C862" s="5"/>
      <c r="D862" s="6"/>
      <c r="G862" s="6"/>
      <c r="H862" s="6"/>
      <c r="L862" s="5"/>
      <c r="M862" s="6"/>
      <c r="P862" s="6"/>
      <c r="Q862" s="6"/>
      <c r="U862" s="5"/>
      <c r="V862" s="6"/>
      <c r="Y862" s="6"/>
      <c r="Z862" s="6"/>
      <c r="AD862" s="5"/>
      <c r="AE862" s="6"/>
      <c r="AH862" s="6"/>
      <c r="AI862" s="6"/>
      <c r="AM862" s="5"/>
      <c r="AN862" s="6"/>
      <c r="AQ862" s="6"/>
      <c r="AR862" s="6"/>
    </row>
    <row r="863" spans="3:44" ht="13.2" x14ac:dyDescent="0.25">
      <c r="C863" s="5"/>
      <c r="D863" s="6"/>
      <c r="G863" s="6"/>
      <c r="H863" s="6"/>
      <c r="L863" s="5"/>
      <c r="M863" s="6"/>
      <c r="P863" s="6"/>
      <c r="Q863" s="6"/>
      <c r="U863" s="5"/>
      <c r="V863" s="6"/>
      <c r="Y863" s="6"/>
      <c r="Z863" s="6"/>
      <c r="AD863" s="5"/>
      <c r="AE863" s="6"/>
      <c r="AH863" s="6"/>
      <c r="AI863" s="6"/>
      <c r="AM863" s="5"/>
      <c r="AN863" s="6"/>
      <c r="AQ863" s="6"/>
      <c r="AR863" s="6"/>
    </row>
    <row r="864" spans="3:44" ht="13.2" x14ac:dyDescent="0.25">
      <c r="C864" s="5"/>
      <c r="D864" s="6"/>
      <c r="G864" s="6"/>
      <c r="H864" s="6"/>
      <c r="L864" s="5"/>
      <c r="M864" s="6"/>
      <c r="P864" s="6"/>
      <c r="Q864" s="6"/>
      <c r="U864" s="5"/>
      <c r="V864" s="6"/>
      <c r="Y864" s="6"/>
      <c r="Z864" s="6"/>
      <c r="AD864" s="5"/>
      <c r="AE864" s="6"/>
      <c r="AH864" s="6"/>
      <c r="AI864" s="6"/>
      <c r="AM864" s="5"/>
      <c r="AN864" s="6"/>
      <c r="AQ864" s="6"/>
      <c r="AR864" s="6"/>
    </row>
    <row r="865" spans="3:44" ht="13.2" x14ac:dyDescent="0.25">
      <c r="C865" s="5"/>
      <c r="D865" s="6"/>
      <c r="G865" s="6"/>
      <c r="H865" s="6"/>
      <c r="L865" s="5"/>
      <c r="M865" s="6"/>
      <c r="P865" s="6"/>
      <c r="Q865" s="6"/>
      <c r="U865" s="5"/>
      <c r="V865" s="6"/>
      <c r="Y865" s="6"/>
      <c r="Z865" s="6"/>
      <c r="AD865" s="5"/>
      <c r="AE865" s="6"/>
      <c r="AH865" s="6"/>
      <c r="AI865" s="6"/>
      <c r="AM865" s="5"/>
      <c r="AN865" s="6"/>
      <c r="AQ865" s="6"/>
      <c r="AR865" s="6"/>
    </row>
    <row r="866" spans="3:44" ht="13.2" x14ac:dyDescent="0.25">
      <c r="C866" s="5"/>
      <c r="D866" s="6"/>
      <c r="G866" s="6"/>
      <c r="H866" s="6"/>
      <c r="L866" s="5"/>
      <c r="M866" s="6"/>
      <c r="P866" s="6"/>
      <c r="Q866" s="6"/>
      <c r="U866" s="5"/>
      <c r="V866" s="6"/>
      <c r="Y866" s="6"/>
      <c r="Z866" s="6"/>
      <c r="AD866" s="5"/>
      <c r="AE866" s="6"/>
      <c r="AH866" s="6"/>
      <c r="AI866" s="6"/>
      <c r="AM866" s="5"/>
      <c r="AN866" s="6"/>
      <c r="AQ866" s="6"/>
      <c r="AR866" s="6"/>
    </row>
    <row r="867" spans="3:44" ht="13.2" x14ac:dyDescent="0.25">
      <c r="C867" s="5"/>
      <c r="D867" s="6"/>
      <c r="G867" s="6"/>
      <c r="H867" s="6"/>
      <c r="L867" s="5"/>
      <c r="M867" s="6"/>
      <c r="P867" s="6"/>
      <c r="Q867" s="6"/>
      <c r="U867" s="5"/>
      <c r="V867" s="6"/>
      <c r="Y867" s="6"/>
      <c r="Z867" s="6"/>
      <c r="AD867" s="5"/>
      <c r="AE867" s="6"/>
      <c r="AH867" s="6"/>
      <c r="AI867" s="6"/>
      <c r="AM867" s="5"/>
      <c r="AN867" s="6"/>
      <c r="AQ867" s="6"/>
      <c r="AR867" s="6"/>
    </row>
    <row r="868" spans="3:44" ht="13.2" x14ac:dyDescent="0.25">
      <c r="C868" s="5"/>
      <c r="D868" s="6"/>
      <c r="G868" s="6"/>
      <c r="H868" s="6"/>
      <c r="L868" s="5"/>
      <c r="M868" s="6"/>
      <c r="P868" s="6"/>
      <c r="Q868" s="6"/>
      <c r="U868" s="5"/>
      <c r="V868" s="6"/>
      <c r="Y868" s="6"/>
      <c r="Z868" s="6"/>
      <c r="AD868" s="5"/>
      <c r="AE868" s="6"/>
      <c r="AH868" s="6"/>
      <c r="AI868" s="6"/>
      <c r="AM868" s="5"/>
      <c r="AN868" s="6"/>
      <c r="AQ868" s="6"/>
      <c r="AR868" s="6"/>
    </row>
    <row r="869" spans="3:44" ht="13.2" x14ac:dyDescent="0.25">
      <c r="C869" s="5"/>
      <c r="D869" s="6"/>
      <c r="G869" s="6"/>
      <c r="H869" s="6"/>
      <c r="L869" s="5"/>
      <c r="M869" s="6"/>
      <c r="P869" s="6"/>
      <c r="Q869" s="6"/>
      <c r="U869" s="5"/>
      <c r="V869" s="6"/>
      <c r="Y869" s="6"/>
      <c r="Z869" s="6"/>
      <c r="AD869" s="5"/>
      <c r="AE869" s="6"/>
      <c r="AH869" s="6"/>
      <c r="AI869" s="6"/>
      <c r="AM869" s="5"/>
      <c r="AN869" s="6"/>
      <c r="AQ869" s="6"/>
      <c r="AR869" s="6"/>
    </row>
    <row r="870" spans="3:44" ht="13.2" x14ac:dyDescent="0.25">
      <c r="C870" s="5"/>
      <c r="D870" s="6"/>
      <c r="G870" s="6"/>
      <c r="H870" s="6"/>
      <c r="L870" s="5"/>
      <c r="M870" s="6"/>
      <c r="P870" s="6"/>
      <c r="Q870" s="6"/>
      <c r="U870" s="5"/>
      <c r="V870" s="6"/>
      <c r="Y870" s="6"/>
      <c r="Z870" s="6"/>
      <c r="AD870" s="5"/>
      <c r="AE870" s="6"/>
      <c r="AH870" s="6"/>
      <c r="AI870" s="6"/>
      <c r="AM870" s="5"/>
      <c r="AN870" s="6"/>
      <c r="AQ870" s="6"/>
      <c r="AR870" s="6"/>
    </row>
    <row r="871" spans="3:44" ht="13.2" x14ac:dyDescent="0.25">
      <c r="C871" s="5"/>
      <c r="D871" s="6"/>
      <c r="G871" s="6"/>
      <c r="H871" s="6"/>
      <c r="L871" s="5"/>
      <c r="M871" s="6"/>
      <c r="P871" s="6"/>
      <c r="Q871" s="6"/>
      <c r="U871" s="5"/>
      <c r="V871" s="6"/>
      <c r="Y871" s="6"/>
      <c r="Z871" s="6"/>
      <c r="AD871" s="5"/>
      <c r="AE871" s="6"/>
      <c r="AH871" s="6"/>
      <c r="AI871" s="6"/>
      <c r="AM871" s="5"/>
      <c r="AN871" s="6"/>
      <c r="AQ871" s="6"/>
      <c r="AR871" s="6"/>
    </row>
    <row r="872" spans="3:44" ht="13.2" x14ac:dyDescent="0.25">
      <c r="C872" s="5"/>
      <c r="D872" s="6"/>
      <c r="G872" s="6"/>
      <c r="H872" s="6"/>
      <c r="L872" s="5"/>
      <c r="M872" s="6"/>
      <c r="P872" s="6"/>
      <c r="Q872" s="6"/>
      <c r="U872" s="5"/>
      <c r="V872" s="6"/>
      <c r="Y872" s="6"/>
      <c r="Z872" s="6"/>
      <c r="AD872" s="5"/>
      <c r="AE872" s="6"/>
      <c r="AH872" s="6"/>
      <c r="AI872" s="6"/>
      <c r="AM872" s="5"/>
      <c r="AN872" s="6"/>
      <c r="AQ872" s="6"/>
      <c r="AR872" s="6"/>
    </row>
    <row r="873" spans="3:44" ht="13.2" x14ac:dyDescent="0.25">
      <c r="C873" s="5"/>
      <c r="D873" s="6"/>
      <c r="G873" s="6"/>
      <c r="H873" s="6"/>
      <c r="L873" s="5"/>
      <c r="M873" s="6"/>
      <c r="P873" s="6"/>
      <c r="Q873" s="6"/>
      <c r="U873" s="5"/>
      <c r="V873" s="6"/>
      <c r="Y873" s="6"/>
      <c r="Z873" s="6"/>
      <c r="AD873" s="5"/>
      <c r="AE873" s="6"/>
      <c r="AH873" s="6"/>
      <c r="AI873" s="6"/>
      <c r="AM873" s="5"/>
      <c r="AN873" s="6"/>
      <c r="AQ873" s="6"/>
      <c r="AR873" s="6"/>
    </row>
    <row r="874" spans="3:44" ht="13.2" x14ac:dyDescent="0.25">
      <c r="C874" s="5"/>
      <c r="D874" s="6"/>
      <c r="G874" s="6"/>
      <c r="H874" s="6"/>
      <c r="L874" s="5"/>
      <c r="M874" s="6"/>
      <c r="P874" s="6"/>
      <c r="Q874" s="6"/>
      <c r="U874" s="5"/>
      <c r="V874" s="6"/>
      <c r="Y874" s="6"/>
      <c r="Z874" s="6"/>
      <c r="AD874" s="5"/>
      <c r="AE874" s="6"/>
      <c r="AH874" s="6"/>
      <c r="AI874" s="6"/>
      <c r="AM874" s="5"/>
      <c r="AN874" s="6"/>
      <c r="AQ874" s="6"/>
      <c r="AR874" s="6"/>
    </row>
    <row r="875" spans="3:44" ht="13.2" x14ac:dyDescent="0.25">
      <c r="C875" s="5"/>
      <c r="D875" s="6"/>
      <c r="G875" s="6"/>
      <c r="H875" s="6"/>
      <c r="L875" s="5"/>
      <c r="M875" s="6"/>
      <c r="P875" s="6"/>
      <c r="Q875" s="6"/>
      <c r="U875" s="5"/>
      <c r="V875" s="6"/>
      <c r="Y875" s="6"/>
      <c r="Z875" s="6"/>
      <c r="AD875" s="5"/>
      <c r="AE875" s="6"/>
      <c r="AH875" s="6"/>
      <c r="AI875" s="6"/>
      <c r="AM875" s="5"/>
      <c r="AN875" s="6"/>
      <c r="AQ875" s="6"/>
      <c r="AR875" s="6"/>
    </row>
    <row r="876" spans="3:44" ht="13.2" x14ac:dyDescent="0.25">
      <c r="C876" s="5"/>
      <c r="D876" s="6"/>
      <c r="G876" s="6"/>
      <c r="H876" s="6"/>
      <c r="L876" s="5"/>
      <c r="M876" s="6"/>
      <c r="P876" s="6"/>
      <c r="Q876" s="6"/>
      <c r="U876" s="5"/>
      <c r="V876" s="6"/>
      <c r="Y876" s="6"/>
      <c r="Z876" s="6"/>
      <c r="AD876" s="5"/>
      <c r="AE876" s="6"/>
      <c r="AH876" s="6"/>
      <c r="AI876" s="6"/>
      <c r="AM876" s="5"/>
      <c r="AN876" s="6"/>
      <c r="AQ876" s="6"/>
      <c r="AR876" s="6"/>
    </row>
    <row r="877" spans="3:44" ht="13.2" x14ac:dyDescent="0.25">
      <c r="C877" s="5"/>
      <c r="D877" s="6"/>
      <c r="G877" s="6"/>
      <c r="H877" s="6"/>
      <c r="L877" s="5"/>
      <c r="M877" s="6"/>
      <c r="P877" s="6"/>
      <c r="Q877" s="6"/>
      <c r="U877" s="5"/>
      <c r="V877" s="6"/>
      <c r="Y877" s="6"/>
      <c r="Z877" s="6"/>
      <c r="AD877" s="5"/>
      <c r="AE877" s="6"/>
      <c r="AH877" s="6"/>
      <c r="AI877" s="6"/>
      <c r="AM877" s="5"/>
      <c r="AN877" s="6"/>
      <c r="AQ877" s="6"/>
      <c r="AR877" s="6"/>
    </row>
    <row r="878" spans="3:44" ht="13.2" x14ac:dyDescent="0.25">
      <c r="C878" s="5"/>
      <c r="D878" s="6"/>
      <c r="G878" s="6"/>
      <c r="H878" s="6"/>
      <c r="L878" s="5"/>
      <c r="M878" s="6"/>
      <c r="P878" s="6"/>
      <c r="Q878" s="6"/>
      <c r="U878" s="5"/>
      <c r="V878" s="6"/>
      <c r="Y878" s="6"/>
      <c r="Z878" s="6"/>
      <c r="AD878" s="5"/>
      <c r="AE878" s="6"/>
      <c r="AH878" s="6"/>
      <c r="AI878" s="6"/>
      <c r="AM878" s="5"/>
      <c r="AN878" s="6"/>
      <c r="AQ878" s="6"/>
      <c r="AR878" s="6"/>
    </row>
    <row r="879" spans="3:44" ht="13.2" x14ac:dyDescent="0.25">
      <c r="C879" s="5"/>
      <c r="D879" s="6"/>
      <c r="G879" s="6"/>
      <c r="H879" s="6"/>
      <c r="L879" s="5"/>
      <c r="M879" s="6"/>
      <c r="P879" s="6"/>
      <c r="Q879" s="6"/>
      <c r="U879" s="5"/>
      <c r="V879" s="6"/>
      <c r="Y879" s="6"/>
      <c r="Z879" s="6"/>
      <c r="AD879" s="5"/>
      <c r="AE879" s="6"/>
      <c r="AH879" s="6"/>
      <c r="AI879" s="6"/>
      <c r="AM879" s="5"/>
      <c r="AN879" s="6"/>
      <c r="AQ879" s="6"/>
      <c r="AR879" s="6"/>
    </row>
    <row r="880" spans="3:44" ht="13.2" x14ac:dyDescent="0.25">
      <c r="C880" s="5"/>
      <c r="D880" s="6"/>
      <c r="G880" s="6"/>
      <c r="H880" s="6"/>
      <c r="L880" s="5"/>
      <c r="M880" s="6"/>
      <c r="P880" s="6"/>
      <c r="Q880" s="6"/>
      <c r="U880" s="5"/>
      <c r="V880" s="6"/>
      <c r="Y880" s="6"/>
      <c r="Z880" s="6"/>
      <c r="AD880" s="5"/>
      <c r="AE880" s="6"/>
      <c r="AH880" s="6"/>
      <c r="AI880" s="6"/>
      <c r="AM880" s="5"/>
      <c r="AN880" s="6"/>
      <c r="AQ880" s="6"/>
      <c r="AR880" s="6"/>
    </row>
    <row r="881" spans="3:44" ht="13.2" x14ac:dyDescent="0.25">
      <c r="C881" s="5"/>
      <c r="D881" s="6"/>
      <c r="G881" s="6"/>
      <c r="H881" s="6"/>
      <c r="L881" s="5"/>
      <c r="M881" s="6"/>
      <c r="P881" s="6"/>
      <c r="Q881" s="6"/>
      <c r="U881" s="5"/>
      <c r="V881" s="6"/>
      <c r="Y881" s="6"/>
      <c r="Z881" s="6"/>
      <c r="AD881" s="5"/>
      <c r="AE881" s="6"/>
      <c r="AH881" s="6"/>
      <c r="AI881" s="6"/>
      <c r="AM881" s="5"/>
      <c r="AN881" s="6"/>
      <c r="AQ881" s="6"/>
      <c r="AR881" s="6"/>
    </row>
    <row r="882" spans="3:44" ht="13.2" x14ac:dyDescent="0.25">
      <c r="C882" s="5"/>
      <c r="D882" s="6"/>
      <c r="G882" s="6"/>
      <c r="H882" s="6"/>
      <c r="L882" s="5"/>
      <c r="M882" s="6"/>
      <c r="P882" s="6"/>
      <c r="Q882" s="6"/>
      <c r="U882" s="5"/>
      <c r="V882" s="6"/>
      <c r="Y882" s="6"/>
      <c r="Z882" s="6"/>
      <c r="AD882" s="5"/>
      <c r="AE882" s="6"/>
      <c r="AH882" s="6"/>
      <c r="AI882" s="6"/>
      <c r="AM882" s="5"/>
      <c r="AN882" s="6"/>
      <c r="AQ882" s="6"/>
      <c r="AR882" s="6"/>
    </row>
    <row r="883" spans="3:44" ht="13.2" x14ac:dyDescent="0.25">
      <c r="C883" s="5"/>
      <c r="D883" s="6"/>
      <c r="G883" s="6"/>
      <c r="H883" s="6"/>
      <c r="L883" s="5"/>
      <c r="M883" s="6"/>
      <c r="P883" s="6"/>
      <c r="Q883" s="6"/>
      <c r="U883" s="5"/>
      <c r="V883" s="6"/>
      <c r="Y883" s="6"/>
      <c r="Z883" s="6"/>
      <c r="AD883" s="5"/>
      <c r="AE883" s="6"/>
      <c r="AH883" s="6"/>
      <c r="AI883" s="6"/>
      <c r="AM883" s="5"/>
      <c r="AN883" s="6"/>
      <c r="AQ883" s="6"/>
      <c r="AR883" s="6"/>
    </row>
    <row r="884" spans="3:44" ht="13.2" x14ac:dyDescent="0.25">
      <c r="C884" s="5"/>
      <c r="D884" s="6"/>
      <c r="G884" s="6"/>
      <c r="H884" s="6"/>
      <c r="L884" s="5"/>
      <c r="M884" s="6"/>
      <c r="P884" s="6"/>
      <c r="Q884" s="6"/>
      <c r="U884" s="5"/>
      <c r="V884" s="6"/>
      <c r="Y884" s="6"/>
      <c r="Z884" s="6"/>
      <c r="AD884" s="5"/>
      <c r="AE884" s="6"/>
      <c r="AH884" s="6"/>
      <c r="AI884" s="6"/>
      <c r="AM884" s="5"/>
      <c r="AN884" s="6"/>
      <c r="AQ884" s="6"/>
      <c r="AR884" s="6"/>
    </row>
    <row r="885" spans="3:44" ht="13.2" x14ac:dyDescent="0.25">
      <c r="C885" s="5"/>
      <c r="D885" s="6"/>
      <c r="G885" s="6"/>
      <c r="H885" s="6"/>
      <c r="L885" s="5"/>
      <c r="M885" s="6"/>
      <c r="P885" s="6"/>
      <c r="Q885" s="6"/>
      <c r="U885" s="5"/>
      <c r="V885" s="6"/>
      <c r="Y885" s="6"/>
      <c r="Z885" s="6"/>
      <c r="AD885" s="5"/>
      <c r="AE885" s="6"/>
      <c r="AH885" s="6"/>
      <c r="AI885" s="6"/>
      <c r="AM885" s="5"/>
      <c r="AN885" s="6"/>
      <c r="AQ885" s="6"/>
      <c r="AR885" s="6"/>
    </row>
    <row r="886" spans="3:44" ht="13.2" x14ac:dyDescent="0.25">
      <c r="C886" s="5"/>
      <c r="D886" s="6"/>
      <c r="G886" s="6"/>
      <c r="H886" s="6"/>
      <c r="L886" s="5"/>
      <c r="M886" s="6"/>
      <c r="P886" s="6"/>
      <c r="Q886" s="6"/>
      <c r="U886" s="5"/>
      <c r="V886" s="6"/>
      <c r="Y886" s="6"/>
      <c r="Z886" s="6"/>
      <c r="AD886" s="5"/>
      <c r="AE886" s="6"/>
      <c r="AH886" s="6"/>
      <c r="AI886" s="6"/>
      <c r="AM886" s="5"/>
      <c r="AN886" s="6"/>
      <c r="AQ886" s="6"/>
      <c r="AR886" s="6"/>
    </row>
    <row r="887" spans="3:44" ht="13.2" x14ac:dyDescent="0.25">
      <c r="C887" s="5"/>
      <c r="D887" s="6"/>
      <c r="G887" s="6"/>
      <c r="H887" s="6"/>
      <c r="L887" s="5"/>
      <c r="M887" s="6"/>
      <c r="P887" s="6"/>
      <c r="Q887" s="6"/>
      <c r="U887" s="5"/>
      <c r="V887" s="6"/>
      <c r="Y887" s="6"/>
      <c r="Z887" s="6"/>
      <c r="AD887" s="5"/>
      <c r="AE887" s="6"/>
      <c r="AH887" s="6"/>
      <c r="AI887" s="6"/>
      <c r="AM887" s="5"/>
      <c r="AN887" s="6"/>
      <c r="AQ887" s="6"/>
      <c r="AR887" s="6"/>
    </row>
    <row r="888" spans="3:44" ht="13.2" x14ac:dyDescent="0.25">
      <c r="C888" s="5"/>
      <c r="D888" s="6"/>
      <c r="G888" s="6"/>
      <c r="H888" s="6"/>
      <c r="L888" s="5"/>
      <c r="M888" s="6"/>
      <c r="P888" s="6"/>
      <c r="Q888" s="6"/>
      <c r="U888" s="5"/>
      <c r="V888" s="6"/>
      <c r="Y888" s="6"/>
      <c r="Z888" s="6"/>
      <c r="AD888" s="5"/>
      <c r="AE888" s="6"/>
      <c r="AH888" s="6"/>
      <c r="AI888" s="6"/>
      <c r="AM888" s="5"/>
      <c r="AN888" s="6"/>
      <c r="AQ888" s="6"/>
      <c r="AR888" s="6"/>
    </row>
    <row r="889" spans="3:44" ht="13.2" x14ac:dyDescent="0.25">
      <c r="C889" s="5"/>
      <c r="D889" s="6"/>
      <c r="G889" s="6"/>
      <c r="H889" s="6"/>
      <c r="L889" s="5"/>
      <c r="M889" s="6"/>
      <c r="P889" s="6"/>
      <c r="Q889" s="6"/>
      <c r="U889" s="5"/>
      <c r="V889" s="6"/>
      <c r="Y889" s="6"/>
      <c r="Z889" s="6"/>
      <c r="AD889" s="5"/>
      <c r="AE889" s="6"/>
      <c r="AH889" s="6"/>
      <c r="AI889" s="6"/>
      <c r="AM889" s="5"/>
      <c r="AN889" s="6"/>
      <c r="AQ889" s="6"/>
      <c r="AR889" s="6"/>
    </row>
    <row r="890" spans="3:44" ht="13.2" x14ac:dyDescent="0.25">
      <c r="C890" s="5"/>
      <c r="D890" s="6"/>
      <c r="G890" s="6"/>
      <c r="H890" s="6"/>
      <c r="L890" s="5"/>
      <c r="M890" s="6"/>
      <c r="P890" s="6"/>
      <c r="Q890" s="6"/>
      <c r="U890" s="5"/>
      <c r="V890" s="6"/>
      <c r="Y890" s="6"/>
      <c r="Z890" s="6"/>
      <c r="AD890" s="5"/>
      <c r="AE890" s="6"/>
      <c r="AH890" s="6"/>
      <c r="AI890" s="6"/>
      <c r="AM890" s="5"/>
      <c r="AN890" s="6"/>
      <c r="AQ890" s="6"/>
      <c r="AR890" s="6"/>
    </row>
    <row r="891" spans="3:44" ht="13.2" x14ac:dyDescent="0.25">
      <c r="C891" s="5"/>
      <c r="D891" s="6"/>
      <c r="G891" s="6"/>
      <c r="H891" s="6"/>
      <c r="L891" s="5"/>
      <c r="M891" s="6"/>
      <c r="P891" s="6"/>
      <c r="Q891" s="6"/>
      <c r="U891" s="5"/>
      <c r="V891" s="6"/>
      <c r="Y891" s="6"/>
      <c r="Z891" s="6"/>
      <c r="AD891" s="5"/>
      <c r="AE891" s="6"/>
      <c r="AH891" s="6"/>
      <c r="AI891" s="6"/>
      <c r="AM891" s="5"/>
      <c r="AN891" s="6"/>
      <c r="AQ891" s="6"/>
      <c r="AR891" s="6"/>
    </row>
    <row r="892" spans="3:44" ht="13.2" x14ac:dyDescent="0.25">
      <c r="C892" s="5"/>
      <c r="D892" s="6"/>
      <c r="G892" s="6"/>
      <c r="H892" s="6"/>
      <c r="L892" s="5"/>
      <c r="M892" s="6"/>
      <c r="P892" s="6"/>
      <c r="Q892" s="6"/>
      <c r="U892" s="5"/>
      <c r="V892" s="6"/>
      <c r="Y892" s="6"/>
      <c r="Z892" s="6"/>
      <c r="AD892" s="5"/>
      <c r="AE892" s="6"/>
      <c r="AH892" s="6"/>
      <c r="AI892" s="6"/>
      <c r="AM892" s="5"/>
      <c r="AN892" s="6"/>
      <c r="AQ892" s="6"/>
      <c r="AR892" s="6"/>
    </row>
    <row r="893" spans="3:44" ht="13.2" x14ac:dyDescent="0.25">
      <c r="C893" s="5"/>
      <c r="D893" s="6"/>
      <c r="G893" s="6"/>
      <c r="H893" s="6"/>
      <c r="L893" s="5"/>
      <c r="M893" s="6"/>
      <c r="P893" s="6"/>
      <c r="Q893" s="6"/>
      <c r="U893" s="5"/>
      <c r="V893" s="6"/>
      <c r="Y893" s="6"/>
      <c r="Z893" s="6"/>
      <c r="AD893" s="5"/>
      <c r="AE893" s="6"/>
      <c r="AH893" s="6"/>
      <c r="AI893" s="6"/>
      <c r="AM893" s="5"/>
      <c r="AN893" s="6"/>
      <c r="AQ893" s="6"/>
      <c r="AR893" s="6"/>
    </row>
    <row r="894" spans="3:44" ht="13.2" x14ac:dyDescent="0.25">
      <c r="C894" s="5"/>
      <c r="D894" s="6"/>
      <c r="G894" s="6"/>
      <c r="H894" s="6"/>
      <c r="L894" s="5"/>
      <c r="M894" s="6"/>
      <c r="P894" s="6"/>
      <c r="Q894" s="6"/>
      <c r="U894" s="5"/>
      <c r="V894" s="6"/>
      <c r="Y894" s="6"/>
      <c r="Z894" s="6"/>
      <c r="AD894" s="5"/>
      <c r="AE894" s="6"/>
      <c r="AH894" s="6"/>
      <c r="AI894" s="6"/>
      <c r="AM894" s="5"/>
      <c r="AN894" s="6"/>
      <c r="AQ894" s="6"/>
      <c r="AR894" s="6"/>
    </row>
    <row r="895" spans="3:44" ht="13.2" x14ac:dyDescent="0.25">
      <c r="C895" s="5"/>
      <c r="D895" s="6"/>
      <c r="G895" s="6"/>
      <c r="H895" s="6"/>
      <c r="L895" s="5"/>
      <c r="M895" s="6"/>
      <c r="P895" s="6"/>
      <c r="Q895" s="6"/>
      <c r="U895" s="5"/>
      <c r="V895" s="6"/>
      <c r="Y895" s="6"/>
      <c r="Z895" s="6"/>
      <c r="AD895" s="5"/>
      <c r="AE895" s="6"/>
      <c r="AH895" s="6"/>
      <c r="AI895" s="6"/>
      <c r="AM895" s="5"/>
      <c r="AN895" s="6"/>
      <c r="AQ895" s="6"/>
      <c r="AR895" s="6"/>
    </row>
    <row r="896" spans="3:44" ht="13.2" x14ac:dyDescent="0.25">
      <c r="C896" s="5"/>
      <c r="D896" s="6"/>
      <c r="G896" s="6"/>
      <c r="H896" s="6"/>
      <c r="L896" s="5"/>
      <c r="M896" s="6"/>
      <c r="P896" s="6"/>
      <c r="Q896" s="6"/>
      <c r="U896" s="5"/>
      <c r="V896" s="6"/>
      <c r="Y896" s="6"/>
      <c r="Z896" s="6"/>
      <c r="AD896" s="5"/>
      <c r="AE896" s="6"/>
      <c r="AH896" s="6"/>
      <c r="AI896" s="6"/>
      <c r="AM896" s="5"/>
      <c r="AN896" s="6"/>
      <c r="AQ896" s="6"/>
      <c r="AR896" s="6"/>
    </row>
    <row r="897" spans="3:44" ht="13.2" x14ac:dyDescent="0.25">
      <c r="C897" s="5"/>
      <c r="D897" s="6"/>
      <c r="G897" s="6"/>
      <c r="H897" s="6"/>
      <c r="L897" s="5"/>
      <c r="M897" s="6"/>
      <c r="P897" s="6"/>
      <c r="Q897" s="6"/>
      <c r="U897" s="5"/>
      <c r="V897" s="6"/>
      <c r="Y897" s="6"/>
      <c r="Z897" s="6"/>
      <c r="AD897" s="5"/>
      <c r="AE897" s="6"/>
      <c r="AH897" s="6"/>
      <c r="AI897" s="6"/>
      <c r="AM897" s="5"/>
      <c r="AN897" s="6"/>
      <c r="AQ897" s="6"/>
      <c r="AR897" s="6"/>
    </row>
    <row r="898" spans="3:44" ht="13.2" x14ac:dyDescent="0.25">
      <c r="C898" s="5"/>
      <c r="D898" s="6"/>
      <c r="G898" s="6"/>
      <c r="H898" s="6"/>
      <c r="L898" s="5"/>
      <c r="M898" s="6"/>
      <c r="P898" s="6"/>
      <c r="Q898" s="6"/>
      <c r="U898" s="5"/>
      <c r="V898" s="6"/>
      <c r="Y898" s="6"/>
      <c r="Z898" s="6"/>
      <c r="AD898" s="5"/>
      <c r="AE898" s="6"/>
      <c r="AH898" s="6"/>
      <c r="AI898" s="6"/>
      <c r="AM898" s="5"/>
      <c r="AN898" s="6"/>
      <c r="AQ898" s="6"/>
      <c r="AR898" s="6"/>
    </row>
    <row r="899" spans="3:44" ht="13.2" x14ac:dyDescent="0.25">
      <c r="C899" s="5"/>
      <c r="D899" s="6"/>
      <c r="G899" s="6"/>
      <c r="H899" s="6"/>
      <c r="L899" s="5"/>
      <c r="M899" s="6"/>
      <c r="P899" s="6"/>
      <c r="Q899" s="6"/>
      <c r="U899" s="5"/>
      <c r="V899" s="6"/>
      <c r="Y899" s="6"/>
      <c r="Z899" s="6"/>
      <c r="AD899" s="5"/>
      <c r="AE899" s="6"/>
      <c r="AH899" s="6"/>
      <c r="AI899" s="6"/>
      <c r="AM899" s="5"/>
      <c r="AN899" s="6"/>
      <c r="AQ899" s="6"/>
      <c r="AR899" s="6"/>
    </row>
    <row r="900" spans="3:44" ht="13.2" x14ac:dyDescent="0.25">
      <c r="C900" s="5"/>
      <c r="D900" s="6"/>
      <c r="G900" s="6"/>
      <c r="H900" s="6"/>
      <c r="L900" s="5"/>
      <c r="M900" s="6"/>
      <c r="P900" s="6"/>
      <c r="Q900" s="6"/>
      <c r="U900" s="5"/>
      <c r="V900" s="6"/>
      <c r="Y900" s="6"/>
      <c r="Z900" s="6"/>
      <c r="AD900" s="5"/>
      <c r="AE900" s="6"/>
      <c r="AH900" s="6"/>
      <c r="AI900" s="6"/>
      <c r="AM900" s="5"/>
      <c r="AN900" s="6"/>
      <c r="AQ900" s="6"/>
      <c r="AR900" s="6"/>
    </row>
    <row r="901" spans="3:44" ht="13.2" x14ac:dyDescent="0.25">
      <c r="C901" s="5"/>
      <c r="D901" s="6"/>
      <c r="G901" s="6"/>
      <c r="H901" s="6"/>
      <c r="L901" s="5"/>
      <c r="M901" s="6"/>
      <c r="P901" s="6"/>
      <c r="Q901" s="6"/>
      <c r="U901" s="5"/>
      <c r="V901" s="6"/>
      <c r="Y901" s="6"/>
      <c r="Z901" s="6"/>
      <c r="AD901" s="5"/>
      <c r="AE901" s="6"/>
      <c r="AH901" s="6"/>
      <c r="AI901" s="6"/>
      <c r="AM901" s="5"/>
      <c r="AN901" s="6"/>
      <c r="AQ901" s="6"/>
      <c r="AR901" s="6"/>
    </row>
    <row r="902" spans="3:44" ht="13.2" x14ac:dyDescent="0.25">
      <c r="C902" s="5"/>
      <c r="D902" s="6"/>
      <c r="G902" s="6"/>
      <c r="H902" s="6"/>
      <c r="L902" s="5"/>
      <c r="M902" s="6"/>
      <c r="P902" s="6"/>
      <c r="Q902" s="6"/>
      <c r="U902" s="5"/>
      <c r="V902" s="6"/>
      <c r="Y902" s="6"/>
      <c r="Z902" s="6"/>
      <c r="AD902" s="5"/>
      <c r="AE902" s="6"/>
      <c r="AH902" s="6"/>
      <c r="AI902" s="6"/>
      <c r="AM902" s="5"/>
      <c r="AN902" s="6"/>
      <c r="AQ902" s="6"/>
      <c r="AR902" s="6"/>
    </row>
    <row r="903" spans="3:44" ht="13.2" x14ac:dyDescent="0.25">
      <c r="C903" s="5"/>
      <c r="D903" s="6"/>
      <c r="G903" s="6"/>
      <c r="H903" s="6"/>
      <c r="L903" s="5"/>
      <c r="M903" s="6"/>
      <c r="P903" s="6"/>
      <c r="Q903" s="6"/>
      <c r="U903" s="5"/>
      <c r="V903" s="6"/>
      <c r="Y903" s="6"/>
      <c r="Z903" s="6"/>
      <c r="AD903" s="5"/>
      <c r="AE903" s="6"/>
      <c r="AH903" s="6"/>
      <c r="AI903" s="6"/>
      <c r="AM903" s="5"/>
      <c r="AN903" s="6"/>
      <c r="AQ903" s="6"/>
      <c r="AR903" s="6"/>
    </row>
    <row r="904" spans="3:44" ht="13.2" x14ac:dyDescent="0.25">
      <c r="C904" s="5"/>
      <c r="D904" s="6"/>
      <c r="G904" s="6"/>
      <c r="H904" s="6"/>
      <c r="L904" s="5"/>
      <c r="M904" s="6"/>
      <c r="P904" s="6"/>
      <c r="Q904" s="6"/>
      <c r="U904" s="5"/>
      <c r="V904" s="6"/>
      <c r="Y904" s="6"/>
      <c r="Z904" s="6"/>
      <c r="AD904" s="5"/>
      <c r="AE904" s="6"/>
      <c r="AH904" s="6"/>
      <c r="AI904" s="6"/>
      <c r="AM904" s="5"/>
      <c r="AN904" s="6"/>
      <c r="AQ904" s="6"/>
      <c r="AR904" s="6"/>
    </row>
    <row r="905" spans="3:44" ht="13.2" x14ac:dyDescent="0.25">
      <c r="C905" s="5"/>
      <c r="D905" s="6"/>
      <c r="G905" s="6"/>
      <c r="H905" s="6"/>
      <c r="L905" s="5"/>
      <c r="M905" s="6"/>
      <c r="P905" s="6"/>
      <c r="Q905" s="6"/>
      <c r="U905" s="5"/>
      <c r="V905" s="6"/>
      <c r="Y905" s="6"/>
      <c r="Z905" s="6"/>
      <c r="AD905" s="5"/>
      <c r="AE905" s="6"/>
      <c r="AH905" s="6"/>
      <c r="AI905" s="6"/>
      <c r="AM905" s="5"/>
      <c r="AN905" s="6"/>
      <c r="AQ905" s="6"/>
      <c r="AR905" s="6"/>
    </row>
    <row r="906" spans="3:44" ht="13.2" x14ac:dyDescent="0.25">
      <c r="C906" s="5"/>
      <c r="D906" s="6"/>
      <c r="G906" s="6"/>
      <c r="H906" s="6"/>
      <c r="L906" s="5"/>
      <c r="M906" s="6"/>
      <c r="P906" s="6"/>
      <c r="Q906" s="6"/>
      <c r="U906" s="5"/>
      <c r="V906" s="6"/>
      <c r="Y906" s="6"/>
      <c r="Z906" s="6"/>
      <c r="AD906" s="5"/>
      <c r="AE906" s="6"/>
      <c r="AH906" s="6"/>
      <c r="AI906" s="6"/>
      <c r="AM906" s="5"/>
      <c r="AN906" s="6"/>
      <c r="AQ906" s="6"/>
      <c r="AR906" s="6"/>
    </row>
    <row r="907" spans="3:44" ht="13.2" x14ac:dyDescent="0.25">
      <c r="C907" s="5"/>
      <c r="D907" s="6"/>
      <c r="G907" s="6"/>
      <c r="H907" s="6"/>
      <c r="L907" s="5"/>
      <c r="M907" s="6"/>
      <c r="P907" s="6"/>
      <c r="Q907" s="6"/>
      <c r="U907" s="5"/>
      <c r="V907" s="6"/>
      <c r="Y907" s="6"/>
      <c r="Z907" s="6"/>
      <c r="AD907" s="5"/>
      <c r="AE907" s="6"/>
      <c r="AH907" s="6"/>
      <c r="AI907" s="6"/>
      <c r="AM907" s="5"/>
      <c r="AN907" s="6"/>
      <c r="AQ907" s="6"/>
      <c r="AR907" s="6"/>
    </row>
    <row r="908" spans="3:44" ht="13.2" x14ac:dyDescent="0.25">
      <c r="C908" s="5"/>
      <c r="D908" s="6"/>
      <c r="G908" s="6"/>
      <c r="H908" s="6"/>
      <c r="L908" s="5"/>
      <c r="M908" s="6"/>
      <c r="P908" s="6"/>
      <c r="Q908" s="6"/>
      <c r="U908" s="5"/>
      <c r="V908" s="6"/>
      <c r="Y908" s="6"/>
      <c r="Z908" s="6"/>
      <c r="AD908" s="5"/>
      <c r="AE908" s="6"/>
      <c r="AH908" s="6"/>
      <c r="AI908" s="6"/>
      <c r="AM908" s="5"/>
      <c r="AN908" s="6"/>
      <c r="AQ908" s="6"/>
      <c r="AR908" s="6"/>
    </row>
    <row r="909" spans="3:44" ht="13.2" x14ac:dyDescent="0.25">
      <c r="C909" s="5"/>
      <c r="D909" s="6"/>
      <c r="G909" s="6"/>
      <c r="H909" s="6"/>
      <c r="L909" s="5"/>
      <c r="M909" s="6"/>
      <c r="P909" s="6"/>
      <c r="Q909" s="6"/>
      <c r="U909" s="5"/>
      <c r="V909" s="6"/>
      <c r="Y909" s="6"/>
      <c r="Z909" s="6"/>
      <c r="AD909" s="5"/>
      <c r="AE909" s="6"/>
      <c r="AH909" s="6"/>
      <c r="AI909" s="6"/>
      <c r="AM909" s="5"/>
      <c r="AN909" s="6"/>
      <c r="AQ909" s="6"/>
      <c r="AR909" s="6"/>
    </row>
    <row r="910" spans="3:44" ht="13.2" x14ac:dyDescent="0.25">
      <c r="C910" s="5"/>
      <c r="D910" s="6"/>
      <c r="G910" s="6"/>
      <c r="H910" s="6"/>
      <c r="L910" s="5"/>
      <c r="M910" s="6"/>
      <c r="P910" s="6"/>
      <c r="Q910" s="6"/>
      <c r="U910" s="5"/>
      <c r="V910" s="6"/>
      <c r="Y910" s="6"/>
      <c r="Z910" s="6"/>
      <c r="AD910" s="5"/>
      <c r="AE910" s="6"/>
      <c r="AH910" s="6"/>
      <c r="AI910" s="6"/>
      <c r="AM910" s="5"/>
      <c r="AN910" s="6"/>
      <c r="AQ910" s="6"/>
      <c r="AR910" s="6"/>
    </row>
    <row r="911" spans="3:44" ht="13.2" x14ac:dyDescent="0.25">
      <c r="C911" s="5"/>
      <c r="D911" s="6"/>
      <c r="G911" s="6"/>
      <c r="H911" s="6"/>
      <c r="L911" s="5"/>
      <c r="M911" s="6"/>
      <c r="P911" s="6"/>
      <c r="Q911" s="6"/>
      <c r="U911" s="5"/>
      <c r="V911" s="6"/>
      <c r="Y911" s="6"/>
      <c r="Z911" s="6"/>
      <c r="AD911" s="5"/>
      <c r="AE911" s="6"/>
      <c r="AH911" s="6"/>
      <c r="AI911" s="6"/>
      <c r="AM911" s="5"/>
      <c r="AN911" s="6"/>
      <c r="AQ911" s="6"/>
      <c r="AR911" s="6"/>
    </row>
    <row r="912" spans="3:44" ht="13.2" x14ac:dyDescent="0.25">
      <c r="C912" s="5"/>
      <c r="D912" s="6"/>
      <c r="G912" s="6"/>
      <c r="H912" s="6"/>
      <c r="L912" s="5"/>
      <c r="M912" s="6"/>
      <c r="P912" s="6"/>
      <c r="Q912" s="6"/>
      <c r="U912" s="5"/>
      <c r="V912" s="6"/>
      <c r="Y912" s="6"/>
      <c r="Z912" s="6"/>
      <c r="AD912" s="5"/>
      <c r="AE912" s="6"/>
      <c r="AH912" s="6"/>
      <c r="AI912" s="6"/>
      <c r="AM912" s="5"/>
      <c r="AN912" s="6"/>
      <c r="AQ912" s="6"/>
      <c r="AR912" s="6"/>
    </row>
    <row r="913" spans="3:44" ht="13.2" x14ac:dyDescent="0.25">
      <c r="C913" s="5"/>
      <c r="D913" s="6"/>
      <c r="G913" s="6"/>
      <c r="H913" s="6"/>
      <c r="L913" s="5"/>
      <c r="M913" s="6"/>
      <c r="P913" s="6"/>
      <c r="Q913" s="6"/>
      <c r="U913" s="5"/>
      <c r="V913" s="6"/>
      <c r="Y913" s="6"/>
      <c r="Z913" s="6"/>
      <c r="AD913" s="5"/>
      <c r="AE913" s="6"/>
      <c r="AH913" s="6"/>
      <c r="AI913" s="6"/>
      <c r="AM913" s="5"/>
      <c r="AN913" s="6"/>
      <c r="AQ913" s="6"/>
      <c r="AR913" s="6"/>
    </row>
    <row r="914" spans="3:44" ht="13.2" x14ac:dyDescent="0.25">
      <c r="C914" s="5"/>
      <c r="D914" s="6"/>
      <c r="G914" s="6"/>
      <c r="H914" s="6"/>
      <c r="L914" s="5"/>
      <c r="M914" s="6"/>
      <c r="P914" s="6"/>
      <c r="Q914" s="6"/>
      <c r="U914" s="5"/>
      <c r="V914" s="6"/>
      <c r="Y914" s="6"/>
      <c r="Z914" s="6"/>
      <c r="AD914" s="5"/>
      <c r="AE914" s="6"/>
      <c r="AH914" s="6"/>
      <c r="AI914" s="6"/>
      <c r="AM914" s="5"/>
      <c r="AN914" s="6"/>
      <c r="AQ914" s="6"/>
      <c r="AR914" s="6"/>
    </row>
    <row r="915" spans="3:44" ht="13.2" x14ac:dyDescent="0.25">
      <c r="C915" s="5"/>
      <c r="D915" s="6"/>
      <c r="G915" s="6"/>
      <c r="H915" s="6"/>
      <c r="L915" s="5"/>
      <c r="M915" s="6"/>
      <c r="P915" s="6"/>
      <c r="Q915" s="6"/>
      <c r="U915" s="5"/>
      <c r="V915" s="6"/>
      <c r="Y915" s="6"/>
      <c r="Z915" s="6"/>
      <c r="AD915" s="5"/>
      <c r="AE915" s="6"/>
      <c r="AH915" s="6"/>
      <c r="AI915" s="6"/>
      <c r="AM915" s="5"/>
      <c r="AN915" s="6"/>
      <c r="AQ915" s="6"/>
      <c r="AR915" s="6"/>
    </row>
    <row r="916" spans="3:44" ht="13.2" x14ac:dyDescent="0.25">
      <c r="C916" s="5"/>
      <c r="D916" s="6"/>
      <c r="G916" s="6"/>
      <c r="H916" s="6"/>
      <c r="L916" s="5"/>
      <c r="M916" s="6"/>
      <c r="P916" s="6"/>
      <c r="Q916" s="6"/>
      <c r="U916" s="5"/>
      <c r="V916" s="6"/>
      <c r="Y916" s="6"/>
      <c r="Z916" s="6"/>
      <c r="AD916" s="5"/>
      <c r="AE916" s="6"/>
      <c r="AH916" s="6"/>
      <c r="AI916" s="6"/>
      <c r="AM916" s="5"/>
      <c r="AN916" s="6"/>
      <c r="AQ916" s="6"/>
      <c r="AR916" s="6"/>
    </row>
    <row r="917" spans="3:44" ht="13.2" x14ac:dyDescent="0.25">
      <c r="C917" s="5"/>
      <c r="D917" s="6"/>
      <c r="G917" s="6"/>
      <c r="H917" s="6"/>
      <c r="L917" s="5"/>
      <c r="M917" s="6"/>
      <c r="P917" s="6"/>
      <c r="Q917" s="6"/>
      <c r="U917" s="5"/>
      <c r="V917" s="6"/>
      <c r="Y917" s="6"/>
      <c r="Z917" s="6"/>
      <c r="AD917" s="5"/>
      <c r="AE917" s="6"/>
      <c r="AH917" s="6"/>
      <c r="AI917" s="6"/>
      <c r="AM917" s="5"/>
      <c r="AN917" s="6"/>
      <c r="AQ917" s="6"/>
      <c r="AR917" s="6"/>
    </row>
    <row r="918" spans="3:44" ht="13.2" x14ac:dyDescent="0.25">
      <c r="C918" s="5"/>
      <c r="D918" s="6"/>
      <c r="G918" s="6"/>
      <c r="H918" s="6"/>
      <c r="L918" s="5"/>
      <c r="M918" s="6"/>
      <c r="P918" s="6"/>
      <c r="Q918" s="6"/>
      <c r="U918" s="5"/>
      <c r="V918" s="6"/>
      <c r="Y918" s="6"/>
      <c r="Z918" s="6"/>
      <c r="AD918" s="5"/>
      <c r="AE918" s="6"/>
      <c r="AH918" s="6"/>
      <c r="AI918" s="6"/>
      <c r="AM918" s="5"/>
      <c r="AN918" s="6"/>
      <c r="AQ918" s="6"/>
      <c r="AR918" s="6"/>
    </row>
    <row r="919" spans="3:44" ht="13.2" x14ac:dyDescent="0.25">
      <c r="C919" s="5"/>
      <c r="D919" s="6"/>
      <c r="G919" s="6"/>
      <c r="H919" s="6"/>
      <c r="L919" s="5"/>
      <c r="M919" s="6"/>
      <c r="P919" s="6"/>
      <c r="Q919" s="6"/>
      <c r="U919" s="5"/>
      <c r="V919" s="6"/>
      <c r="Y919" s="6"/>
      <c r="Z919" s="6"/>
      <c r="AD919" s="5"/>
      <c r="AE919" s="6"/>
      <c r="AH919" s="6"/>
      <c r="AI919" s="6"/>
      <c r="AM919" s="5"/>
      <c r="AN919" s="6"/>
      <c r="AQ919" s="6"/>
      <c r="AR919" s="6"/>
    </row>
    <row r="920" spans="3:44" ht="13.2" x14ac:dyDescent="0.25">
      <c r="C920" s="5"/>
      <c r="D920" s="6"/>
      <c r="G920" s="6"/>
      <c r="H920" s="6"/>
      <c r="L920" s="5"/>
      <c r="M920" s="6"/>
      <c r="P920" s="6"/>
      <c r="Q920" s="6"/>
      <c r="U920" s="5"/>
      <c r="V920" s="6"/>
      <c r="Y920" s="6"/>
      <c r="Z920" s="6"/>
      <c r="AD920" s="5"/>
      <c r="AE920" s="6"/>
      <c r="AH920" s="6"/>
      <c r="AI920" s="6"/>
      <c r="AM920" s="5"/>
      <c r="AN920" s="6"/>
      <c r="AQ920" s="6"/>
      <c r="AR920" s="6"/>
    </row>
    <row r="921" spans="3:44" ht="13.2" x14ac:dyDescent="0.25">
      <c r="C921" s="5"/>
      <c r="D921" s="6"/>
      <c r="G921" s="6"/>
      <c r="H921" s="6"/>
      <c r="L921" s="5"/>
      <c r="M921" s="6"/>
      <c r="P921" s="6"/>
      <c r="Q921" s="6"/>
      <c r="U921" s="5"/>
      <c r="V921" s="6"/>
      <c r="Y921" s="6"/>
      <c r="Z921" s="6"/>
      <c r="AD921" s="5"/>
      <c r="AE921" s="6"/>
      <c r="AH921" s="6"/>
      <c r="AI921" s="6"/>
      <c r="AM921" s="5"/>
      <c r="AN921" s="6"/>
      <c r="AQ921" s="6"/>
      <c r="AR921" s="6"/>
    </row>
    <row r="922" spans="3:44" ht="13.2" x14ac:dyDescent="0.25">
      <c r="C922" s="5"/>
      <c r="D922" s="6"/>
      <c r="G922" s="6"/>
      <c r="H922" s="6"/>
      <c r="L922" s="5"/>
      <c r="M922" s="6"/>
      <c r="P922" s="6"/>
      <c r="Q922" s="6"/>
      <c r="U922" s="5"/>
      <c r="V922" s="6"/>
      <c r="Y922" s="6"/>
      <c r="Z922" s="6"/>
      <c r="AD922" s="5"/>
      <c r="AE922" s="6"/>
      <c r="AH922" s="6"/>
      <c r="AI922" s="6"/>
      <c r="AM922" s="5"/>
      <c r="AN922" s="6"/>
      <c r="AQ922" s="6"/>
      <c r="AR922" s="6"/>
    </row>
    <row r="923" spans="3:44" ht="13.2" x14ac:dyDescent="0.25">
      <c r="C923" s="5"/>
      <c r="D923" s="6"/>
      <c r="G923" s="6"/>
      <c r="H923" s="6"/>
      <c r="L923" s="5"/>
      <c r="M923" s="6"/>
      <c r="P923" s="6"/>
      <c r="Q923" s="6"/>
      <c r="U923" s="5"/>
      <c r="V923" s="6"/>
      <c r="Y923" s="6"/>
      <c r="Z923" s="6"/>
      <c r="AD923" s="5"/>
      <c r="AE923" s="6"/>
      <c r="AH923" s="6"/>
      <c r="AI923" s="6"/>
      <c r="AM923" s="5"/>
      <c r="AN923" s="6"/>
      <c r="AQ923" s="6"/>
      <c r="AR923" s="6"/>
    </row>
    <row r="924" spans="3:44" ht="13.2" x14ac:dyDescent="0.25">
      <c r="C924" s="5"/>
      <c r="D924" s="6"/>
      <c r="G924" s="6"/>
      <c r="H924" s="6"/>
      <c r="L924" s="5"/>
      <c r="M924" s="6"/>
      <c r="P924" s="6"/>
      <c r="Q924" s="6"/>
      <c r="U924" s="5"/>
      <c r="V924" s="6"/>
      <c r="Y924" s="6"/>
      <c r="Z924" s="6"/>
      <c r="AD924" s="5"/>
      <c r="AE924" s="6"/>
      <c r="AH924" s="6"/>
      <c r="AI924" s="6"/>
      <c r="AM924" s="5"/>
      <c r="AN924" s="6"/>
      <c r="AQ924" s="6"/>
      <c r="AR924" s="6"/>
    </row>
    <row r="925" spans="3:44" ht="13.2" x14ac:dyDescent="0.25">
      <c r="C925" s="5"/>
      <c r="D925" s="6"/>
      <c r="G925" s="6"/>
      <c r="H925" s="6"/>
      <c r="L925" s="5"/>
      <c r="M925" s="6"/>
      <c r="P925" s="6"/>
      <c r="Q925" s="6"/>
      <c r="U925" s="5"/>
      <c r="V925" s="6"/>
      <c r="Y925" s="6"/>
      <c r="Z925" s="6"/>
      <c r="AD925" s="5"/>
      <c r="AE925" s="6"/>
      <c r="AH925" s="6"/>
      <c r="AI925" s="6"/>
      <c r="AM925" s="5"/>
      <c r="AN925" s="6"/>
      <c r="AQ925" s="6"/>
      <c r="AR925" s="6"/>
    </row>
    <row r="926" spans="3:44" ht="13.2" x14ac:dyDescent="0.25">
      <c r="C926" s="5"/>
      <c r="D926" s="6"/>
      <c r="G926" s="6"/>
      <c r="H926" s="6"/>
      <c r="L926" s="5"/>
      <c r="M926" s="6"/>
      <c r="P926" s="6"/>
      <c r="Q926" s="6"/>
      <c r="U926" s="5"/>
      <c r="V926" s="6"/>
      <c r="Y926" s="6"/>
      <c r="Z926" s="6"/>
      <c r="AD926" s="5"/>
      <c r="AE926" s="6"/>
      <c r="AH926" s="6"/>
      <c r="AI926" s="6"/>
      <c r="AM926" s="5"/>
      <c r="AN926" s="6"/>
      <c r="AQ926" s="6"/>
      <c r="AR926" s="6"/>
    </row>
    <row r="927" spans="3:44" ht="13.2" x14ac:dyDescent="0.25">
      <c r="C927" s="5"/>
      <c r="D927" s="6"/>
      <c r="G927" s="6"/>
      <c r="H927" s="6"/>
      <c r="L927" s="5"/>
      <c r="M927" s="6"/>
      <c r="P927" s="6"/>
      <c r="Q927" s="6"/>
      <c r="U927" s="5"/>
      <c r="V927" s="6"/>
      <c r="Y927" s="6"/>
      <c r="Z927" s="6"/>
      <c r="AD927" s="5"/>
      <c r="AE927" s="6"/>
      <c r="AH927" s="6"/>
      <c r="AI927" s="6"/>
      <c r="AM927" s="5"/>
      <c r="AN927" s="6"/>
      <c r="AQ927" s="6"/>
      <c r="AR927" s="6"/>
    </row>
    <row r="928" spans="3:44" ht="13.2" x14ac:dyDescent="0.25">
      <c r="C928" s="5"/>
      <c r="D928" s="6"/>
      <c r="G928" s="6"/>
      <c r="H928" s="6"/>
      <c r="L928" s="5"/>
      <c r="M928" s="6"/>
      <c r="P928" s="6"/>
      <c r="Q928" s="6"/>
      <c r="U928" s="5"/>
      <c r="V928" s="6"/>
      <c r="Y928" s="6"/>
      <c r="Z928" s="6"/>
      <c r="AD928" s="5"/>
      <c r="AE928" s="6"/>
      <c r="AH928" s="6"/>
      <c r="AI928" s="6"/>
      <c r="AM928" s="5"/>
      <c r="AN928" s="6"/>
      <c r="AQ928" s="6"/>
      <c r="AR928" s="6"/>
    </row>
    <row r="929" spans="3:44" ht="13.2" x14ac:dyDescent="0.25">
      <c r="C929" s="5"/>
      <c r="D929" s="6"/>
      <c r="G929" s="6"/>
      <c r="H929" s="6"/>
      <c r="L929" s="5"/>
      <c r="M929" s="6"/>
      <c r="P929" s="6"/>
      <c r="Q929" s="6"/>
      <c r="U929" s="5"/>
      <c r="V929" s="6"/>
      <c r="Y929" s="6"/>
      <c r="Z929" s="6"/>
      <c r="AD929" s="5"/>
      <c r="AE929" s="6"/>
      <c r="AH929" s="6"/>
      <c r="AI929" s="6"/>
      <c r="AM929" s="5"/>
      <c r="AN929" s="6"/>
      <c r="AQ929" s="6"/>
      <c r="AR929" s="6"/>
    </row>
    <row r="930" spans="3:44" ht="13.2" x14ac:dyDescent="0.25">
      <c r="C930" s="5"/>
      <c r="D930" s="6"/>
      <c r="G930" s="6"/>
      <c r="H930" s="6"/>
      <c r="L930" s="5"/>
      <c r="M930" s="6"/>
      <c r="P930" s="6"/>
      <c r="Q930" s="6"/>
      <c r="U930" s="5"/>
      <c r="V930" s="6"/>
      <c r="Y930" s="6"/>
      <c r="Z930" s="6"/>
      <c r="AD930" s="5"/>
      <c r="AE930" s="6"/>
      <c r="AH930" s="6"/>
      <c r="AI930" s="6"/>
      <c r="AM930" s="5"/>
      <c r="AN930" s="6"/>
      <c r="AQ930" s="6"/>
      <c r="AR930" s="6"/>
    </row>
    <row r="931" spans="3:44" ht="13.2" x14ac:dyDescent="0.25">
      <c r="C931" s="5"/>
      <c r="D931" s="6"/>
      <c r="G931" s="6"/>
      <c r="H931" s="6"/>
      <c r="L931" s="5"/>
      <c r="M931" s="6"/>
      <c r="P931" s="6"/>
      <c r="Q931" s="6"/>
      <c r="U931" s="5"/>
      <c r="V931" s="6"/>
      <c r="Y931" s="6"/>
      <c r="Z931" s="6"/>
      <c r="AD931" s="5"/>
      <c r="AE931" s="6"/>
      <c r="AH931" s="6"/>
      <c r="AI931" s="6"/>
      <c r="AM931" s="5"/>
      <c r="AN931" s="6"/>
      <c r="AQ931" s="6"/>
      <c r="AR931" s="6"/>
    </row>
    <row r="932" spans="3:44" ht="13.2" x14ac:dyDescent="0.25">
      <c r="C932" s="5"/>
      <c r="D932" s="6"/>
      <c r="G932" s="6"/>
      <c r="H932" s="6"/>
      <c r="L932" s="5"/>
      <c r="M932" s="6"/>
      <c r="P932" s="6"/>
      <c r="Q932" s="6"/>
      <c r="U932" s="5"/>
      <c r="V932" s="6"/>
      <c r="Y932" s="6"/>
      <c r="Z932" s="6"/>
      <c r="AD932" s="5"/>
      <c r="AE932" s="6"/>
      <c r="AH932" s="6"/>
      <c r="AI932" s="6"/>
      <c r="AM932" s="5"/>
      <c r="AN932" s="6"/>
      <c r="AQ932" s="6"/>
      <c r="AR932" s="6"/>
    </row>
    <row r="933" spans="3:44" ht="13.2" x14ac:dyDescent="0.25">
      <c r="C933" s="5"/>
      <c r="D933" s="6"/>
      <c r="G933" s="6"/>
      <c r="H933" s="6"/>
      <c r="L933" s="5"/>
      <c r="M933" s="6"/>
      <c r="P933" s="6"/>
      <c r="Q933" s="6"/>
      <c r="U933" s="5"/>
      <c r="V933" s="6"/>
      <c r="Y933" s="6"/>
      <c r="Z933" s="6"/>
      <c r="AD933" s="5"/>
      <c r="AE933" s="6"/>
      <c r="AH933" s="6"/>
      <c r="AI933" s="6"/>
      <c r="AM933" s="5"/>
      <c r="AN933" s="6"/>
      <c r="AQ933" s="6"/>
      <c r="AR933" s="6"/>
    </row>
    <row r="934" spans="3:44" ht="13.2" x14ac:dyDescent="0.25">
      <c r="C934" s="5"/>
      <c r="D934" s="6"/>
      <c r="G934" s="6"/>
      <c r="H934" s="6"/>
      <c r="L934" s="5"/>
      <c r="M934" s="6"/>
      <c r="P934" s="6"/>
      <c r="Q934" s="6"/>
      <c r="U934" s="5"/>
      <c r="V934" s="6"/>
      <c r="Y934" s="6"/>
      <c r="Z934" s="6"/>
      <c r="AD934" s="5"/>
      <c r="AE934" s="6"/>
      <c r="AH934" s="6"/>
      <c r="AI934" s="6"/>
      <c r="AM934" s="5"/>
      <c r="AN934" s="6"/>
      <c r="AQ934" s="6"/>
      <c r="AR934" s="6"/>
    </row>
    <row r="935" spans="3:44" ht="13.2" x14ac:dyDescent="0.25">
      <c r="C935" s="5"/>
      <c r="D935" s="6"/>
      <c r="G935" s="6"/>
      <c r="H935" s="6"/>
      <c r="L935" s="5"/>
      <c r="M935" s="6"/>
      <c r="P935" s="6"/>
      <c r="Q935" s="6"/>
      <c r="U935" s="5"/>
      <c r="V935" s="6"/>
      <c r="Y935" s="6"/>
      <c r="Z935" s="6"/>
      <c r="AD935" s="5"/>
      <c r="AE935" s="6"/>
      <c r="AH935" s="6"/>
      <c r="AI935" s="6"/>
      <c r="AM935" s="5"/>
      <c r="AN935" s="6"/>
      <c r="AQ935" s="6"/>
      <c r="AR935" s="6"/>
    </row>
    <row r="936" spans="3:44" ht="13.2" x14ac:dyDescent="0.25">
      <c r="C936" s="5"/>
      <c r="D936" s="6"/>
      <c r="G936" s="6"/>
      <c r="H936" s="6"/>
      <c r="L936" s="5"/>
      <c r="M936" s="6"/>
      <c r="P936" s="6"/>
      <c r="Q936" s="6"/>
      <c r="U936" s="5"/>
      <c r="V936" s="6"/>
      <c r="Y936" s="6"/>
      <c r="Z936" s="6"/>
      <c r="AD936" s="5"/>
      <c r="AE936" s="6"/>
      <c r="AH936" s="6"/>
      <c r="AI936" s="6"/>
      <c r="AM936" s="5"/>
      <c r="AN936" s="6"/>
      <c r="AQ936" s="6"/>
      <c r="AR936" s="6"/>
    </row>
    <row r="937" spans="3:44" ht="13.2" x14ac:dyDescent="0.25">
      <c r="C937" s="5"/>
      <c r="D937" s="6"/>
      <c r="G937" s="6"/>
      <c r="H937" s="6"/>
      <c r="L937" s="5"/>
      <c r="M937" s="6"/>
      <c r="P937" s="6"/>
      <c r="Q937" s="6"/>
      <c r="U937" s="5"/>
      <c r="V937" s="6"/>
      <c r="Y937" s="6"/>
      <c r="Z937" s="6"/>
      <c r="AD937" s="5"/>
      <c r="AE937" s="6"/>
      <c r="AH937" s="6"/>
      <c r="AI937" s="6"/>
      <c r="AM937" s="5"/>
      <c r="AN937" s="6"/>
      <c r="AQ937" s="6"/>
      <c r="AR937" s="6"/>
    </row>
    <row r="938" spans="3:44" ht="13.2" x14ac:dyDescent="0.25">
      <c r="C938" s="5"/>
      <c r="D938" s="6"/>
      <c r="G938" s="6"/>
      <c r="H938" s="6"/>
      <c r="L938" s="5"/>
      <c r="M938" s="6"/>
      <c r="P938" s="6"/>
      <c r="Q938" s="6"/>
      <c r="U938" s="5"/>
      <c r="V938" s="6"/>
      <c r="Y938" s="6"/>
      <c r="Z938" s="6"/>
      <c r="AD938" s="5"/>
      <c r="AE938" s="6"/>
      <c r="AH938" s="6"/>
      <c r="AI938" s="6"/>
      <c r="AM938" s="5"/>
      <c r="AN938" s="6"/>
      <c r="AQ938" s="6"/>
      <c r="AR938" s="6"/>
    </row>
    <row r="939" spans="3:44" ht="13.2" x14ac:dyDescent="0.25">
      <c r="C939" s="5"/>
      <c r="D939" s="6"/>
      <c r="G939" s="6"/>
      <c r="H939" s="6"/>
      <c r="L939" s="5"/>
      <c r="M939" s="6"/>
      <c r="P939" s="6"/>
      <c r="Q939" s="6"/>
      <c r="U939" s="5"/>
      <c r="V939" s="6"/>
      <c r="Y939" s="6"/>
      <c r="Z939" s="6"/>
      <c r="AD939" s="5"/>
      <c r="AE939" s="6"/>
      <c r="AH939" s="6"/>
      <c r="AI939" s="6"/>
      <c r="AM939" s="5"/>
      <c r="AN939" s="6"/>
      <c r="AQ939" s="6"/>
      <c r="AR939" s="6"/>
    </row>
    <row r="940" spans="3:44" ht="13.2" x14ac:dyDescent="0.25">
      <c r="C940" s="5"/>
      <c r="D940" s="6"/>
      <c r="G940" s="6"/>
      <c r="H940" s="6"/>
      <c r="L940" s="5"/>
      <c r="M940" s="6"/>
      <c r="P940" s="6"/>
      <c r="Q940" s="6"/>
      <c r="U940" s="5"/>
      <c r="V940" s="6"/>
      <c r="Y940" s="6"/>
      <c r="Z940" s="6"/>
      <c r="AD940" s="5"/>
      <c r="AE940" s="6"/>
      <c r="AH940" s="6"/>
      <c r="AI940" s="6"/>
      <c r="AM940" s="5"/>
      <c r="AN940" s="6"/>
      <c r="AQ940" s="6"/>
      <c r="AR940" s="6"/>
    </row>
    <row r="941" spans="3:44" ht="13.2" x14ac:dyDescent="0.25">
      <c r="C941" s="5"/>
      <c r="D941" s="6"/>
      <c r="G941" s="6"/>
      <c r="H941" s="6"/>
      <c r="L941" s="5"/>
      <c r="M941" s="6"/>
      <c r="P941" s="6"/>
      <c r="Q941" s="6"/>
      <c r="U941" s="5"/>
      <c r="V941" s="6"/>
      <c r="Y941" s="6"/>
      <c r="Z941" s="6"/>
      <c r="AD941" s="5"/>
      <c r="AE941" s="6"/>
      <c r="AH941" s="6"/>
      <c r="AI941" s="6"/>
      <c r="AM941" s="5"/>
      <c r="AN941" s="6"/>
      <c r="AQ941" s="6"/>
      <c r="AR941" s="6"/>
    </row>
    <row r="942" spans="3:44" ht="13.2" x14ac:dyDescent="0.25">
      <c r="C942" s="5"/>
      <c r="D942" s="6"/>
      <c r="G942" s="6"/>
      <c r="H942" s="6"/>
      <c r="L942" s="5"/>
      <c r="M942" s="6"/>
      <c r="P942" s="6"/>
      <c r="Q942" s="6"/>
      <c r="U942" s="5"/>
      <c r="V942" s="6"/>
      <c r="Y942" s="6"/>
      <c r="Z942" s="6"/>
      <c r="AD942" s="5"/>
      <c r="AE942" s="6"/>
      <c r="AH942" s="6"/>
      <c r="AI942" s="6"/>
      <c r="AM942" s="5"/>
      <c r="AN942" s="6"/>
      <c r="AQ942" s="6"/>
      <c r="AR942" s="6"/>
    </row>
    <row r="943" spans="3:44" ht="13.2" x14ac:dyDescent="0.25">
      <c r="C943" s="5"/>
      <c r="D943" s="6"/>
      <c r="G943" s="6"/>
      <c r="H943" s="6"/>
      <c r="L943" s="5"/>
      <c r="M943" s="6"/>
      <c r="P943" s="6"/>
      <c r="Q943" s="6"/>
      <c r="U943" s="5"/>
      <c r="V943" s="6"/>
      <c r="Y943" s="6"/>
      <c r="Z943" s="6"/>
      <c r="AD943" s="5"/>
      <c r="AE943" s="6"/>
      <c r="AH943" s="6"/>
      <c r="AI943" s="6"/>
      <c r="AM943" s="5"/>
      <c r="AN943" s="6"/>
      <c r="AQ943" s="6"/>
      <c r="AR943" s="6"/>
    </row>
    <row r="944" spans="3:44" ht="13.2" x14ac:dyDescent="0.25">
      <c r="C944" s="5"/>
      <c r="D944" s="6"/>
      <c r="G944" s="6"/>
      <c r="H944" s="6"/>
      <c r="L944" s="5"/>
      <c r="M944" s="6"/>
      <c r="P944" s="6"/>
      <c r="Q944" s="6"/>
      <c r="U944" s="5"/>
      <c r="V944" s="6"/>
      <c r="Y944" s="6"/>
      <c r="Z944" s="6"/>
      <c r="AD944" s="5"/>
      <c r="AE944" s="6"/>
      <c r="AH944" s="6"/>
      <c r="AI944" s="6"/>
      <c r="AM944" s="5"/>
      <c r="AN944" s="6"/>
      <c r="AQ944" s="6"/>
      <c r="AR944" s="6"/>
    </row>
    <row r="945" spans="3:44" ht="13.2" x14ac:dyDescent="0.25">
      <c r="C945" s="5"/>
      <c r="D945" s="6"/>
      <c r="G945" s="6"/>
      <c r="H945" s="6"/>
      <c r="L945" s="5"/>
      <c r="M945" s="6"/>
      <c r="P945" s="6"/>
      <c r="Q945" s="6"/>
      <c r="U945" s="5"/>
      <c r="V945" s="6"/>
      <c r="Y945" s="6"/>
      <c r="Z945" s="6"/>
      <c r="AD945" s="5"/>
      <c r="AE945" s="6"/>
      <c r="AH945" s="6"/>
      <c r="AI945" s="6"/>
      <c r="AM945" s="5"/>
      <c r="AN945" s="6"/>
      <c r="AQ945" s="6"/>
      <c r="AR945" s="6"/>
    </row>
    <row r="946" spans="3:44" ht="13.2" x14ac:dyDescent="0.25">
      <c r="C946" s="5"/>
      <c r="D946" s="6"/>
      <c r="G946" s="6"/>
      <c r="H946" s="6"/>
      <c r="L946" s="5"/>
      <c r="M946" s="6"/>
      <c r="P946" s="6"/>
      <c r="Q946" s="6"/>
      <c r="U946" s="5"/>
      <c r="V946" s="6"/>
      <c r="Y946" s="6"/>
      <c r="Z946" s="6"/>
      <c r="AD946" s="5"/>
      <c r="AE946" s="6"/>
      <c r="AH946" s="6"/>
      <c r="AI946" s="6"/>
      <c r="AM946" s="5"/>
      <c r="AN946" s="6"/>
      <c r="AQ946" s="6"/>
      <c r="AR946" s="6"/>
    </row>
    <row r="947" spans="3:44" ht="13.2" x14ac:dyDescent="0.25">
      <c r="C947" s="5"/>
      <c r="D947" s="6"/>
      <c r="G947" s="6"/>
      <c r="H947" s="6"/>
      <c r="L947" s="5"/>
      <c r="M947" s="6"/>
      <c r="P947" s="6"/>
      <c r="Q947" s="6"/>
      <c r="U947" s="5"/>
      <c r="V947" s="6"/>
      <c r="Y947" s="6"/>
      <c r="Z947" s="6"/>
      <c r="AD947" s="5"/>
      <c r="AE947" s="6"/>
      <c r="AH947" s="6"/>
      <c r="AI947" s="6"/>
      <c r="AM947" s="5"/>
      <c r="AN947" s="6"/>
      <c r="AQ947" s="6"/>
      <c r="AR947" s="6"/>
    </row>
    <row r="948" spans="3:44" ht="13.2" x14ac:dyDescent="0.25">
      <c r="C948" s="5"/>
      <c r="D948" s="6"/>
      <c r="G948" s="6"/>
      <c r="H948" s="6"/>
      <c r="L948" s="5"/>
      <c r="M948" s="6"/>
      <c r="P948" s="6"/>
      <c r="Q948" s="6"/>
      <c r="U948" s="5"/>
      <c r="V948" s="6"/>
      <c r="Y948" s="6"/>
      <c r="Z948" s="6"/>
      <c r="AD948" s="5"/>
      <c r="AE948" s="6"/>
      <c r="AH948" s="6"/>
      <c r="AI948" s="6"/>
      <c r="AM948" s="5"/>
      <c r="AN948" s="6"/>
      <c r="AQ948" s="6"/>
      <c r="AR948" s="6"/>
    </row>
    <row r="949" spans="3:44" ht="13.2" x14ac:dyDescent="0.25">
      <c r="C949" s="5"/>
      <c r="D949" s="6"/>
      <c r="G949" s="6"/>
      <c r="H949" s="6"/>
      <c r="L949" s="5"/>
      <c r="M949" s="6"/>
      <c r="P949" s="6"/>
      <c r="Q949" s="6"/>
      <c r="U949" s="5"/>
      <c r="V949" s="6"/>
      <c r="Y949" s="6"/>
      <c r="Z949" s="6"/>
      <c r="AD949" s="5"/>
      <c r="AE949" s="6"/>
      <c r="AH949" s="6"/>
      <c r="AI949" s="6"/>
      <c r="AM949" s="5"/>
      <c r="AN949" s="6"/>
      <c r="AQ949" s="6"/>
      <c r="AR949" s="6"/>
    </row>
    <row r="950" spans="3:44" ht="13.2" x14ac:dyDescent="0.25">
      <c r="C950" s="5"/>
      <c r="D950" s="6"/>
      <c r="G950" s="6"/>
      <c r="H950" s="6"/>
      <c r="L950" s="5"/>
      <c r="M950" s="6"/>
      <c r="P950" s="6"/>
      <c r="Q950" s="6"/>
      <c r="U950" s="5"/>
      <c r="V950" s="6"/>
      <c r="Y950" s="6"/>
      <c r="Z950" s="6"/>
      <c r="AD950" s="5"/>
      <c r="AE950" s="6"/>
      <c r="AH950" s="6"/>
      <c r="AI950" s="6"/>
      <c r="AM950" s="5"/>
      <c r="AN950" s="6"/>
      <c r="AQ950" s="6"/>
      <c r="AR950" s="6"/>
    </row>
    <row r="951" spans="3:44" ht="13.2" x14ac:dyDescent="0.25">
      <c r="C951" s="5"/>
      <c r="D951" s="6"/>
      <c r="G951" s="6"/>
      <c r="H951" s="6"/>
      <c r="L951" s="5"/>
      <c r="M951" s="6"/>
      <c r="P951" s="6"/>
      <c r="Q951" s="6"/>
      <c r="U951" s="5"/>
      <c r="V951" s="6"/>
      <c r="Y951" s="6"/>
      <c r="Z951" s="6"/>
      <c r="AD951" s="5"/>
      <c r="AE951" s="6"/>
      <c r="AH951" s="6"/>
      <c r="AI951" s="6"/>
      <c r="AM951" s="5"/>
      <c r="AN951" s="6"/>
      <c r="AQ951" s="6"/>
      <c r="AR951" s="6"/>
    </row>
    <row r="952" spans="3:44" ht="13.2" x14ac:dyDescent="0.25">
      <c r="C952" s="5"/>
      <c r="D952" s="6"/>
      <c r="G952" s="6"/>
      <c r="H952" s="6"/>
      <c r="L952" s="5"/>
      <c r="M952" s="6"/>
      <c r="P952" s="6"/>
      <c r="Q952" s="6"/>
      <c r="U952" s="5"/>
      <c r="V952" s="6"/>
      <c r="Y952" s="6"/>
      <c r="Z952" s="6"/>
      <c r="AD952" s="5"/>
      <c r="AE952" s="6"/>
      <c r="AH952" s="6"/>
      <c r="AI952" s="6"/>
      <c r="AM952" s="5"/>
      <c r="AN952" s="6"/>
      <c r="AQ952" s="6"/>
      <c r="AR952" s="6"/>
    </row>
    <row r="953" spans="3:44" ht="13.2" x14ac:dyDescent="0.25">
      <c r="C953" s="5"/>
      <c r="D953" s="6"/>
      <c r="G953" s="6"/>
      <c r="H953" s="6"/>
      <c r="L953" s="5"/>
      <c r="M953" s="6"/>
      <c r="P953" s="6"/>
      <c r="Q953" s="6"/>
      <c r="U953" s="5"/>
      <c r="V953" s="6"/>
      <c r="Y953" s="6"/>
      <c r="Z953" s="6"/>
      <c r="AD953" s="5"/>
      <c r="AE953" s="6"/>
      <c r="AH953" s="6"/>
      <c r="AI953" s="6"/>
      <c r="AM953" s="5"/>
      <c r="AN953" s="6"/>
      <c r="AQ953" s="6"/>
      <c r="AR953" s="6"/>
    </row>
    <row r="954" spans="3:44" ht="13.2" x14ac:dyDescent="0.25">
      <c r="C954" s="5"/>
      <c r="D954" s="6"/>
      <c r="G954" s="6"/>
      <c r="H954" s="6"/>
      <c r="L954" s="5"/>
      <c r="M954" s="6"/>
      <c r="P954" s="6"/>
      <c r="Q954" s="6"/>
      <c r="U954" s="5"/>
      <c r="V954" s="6"/>
      <c r="Y954" s="6"/>
      <c r="Z954" s="6"/>
      <c r="AD954" s="5"/>
      <c r="AE954" s="6"/>
      <c r="AH954" s="6"/>
      <c r="AI954" s="6"/>
      <c r="AM954" s="5"/>
      <c r="AN954" s="6"/>
      <c r="AQ954" s="6"/>
      <c r="AR954" s="6"/>
    </row>
    <row r="955" spans="3:44" ht="13.2" x14ac:dyDescent="0.25">
      <c r="C955" s="5"/>
      <c r="D955" s="6"/>
      <c r="G955" s="6"/>
      <c r="H955" s="6"/>
      <c r="L955" s="5"/>
      <c r="M955" s="6"/>
      <c r="P955" s="6"/>
      <c r="Q955" s="6"/>
      <c r="U955" s="5"/>
      <c r="V955" s="6"/>
      <c r="Y955" s="6"/>
      <c r="Z955" s="6"/>
      <c r="AD955" s="5"/>
      <c r="AE955" s="6"/>
      <c r="AH955" s="6"/>
      <c r="AI955" s="6"/>
      <c r="AM955" s="5"/>
      <c r="AN955" s="6"/>
      <c r="AQ955" s="6"/>
      <c r="AR955" s="6"/>
    </row>
    <row r="956" spans="3:44" ht="13.2" x14ac:dyDescent="0.25">
      <c r="C956" s="5"/>
      <c r="D956" s="6"/>
      <c r="G956" s="6"/>
      <c r="H956" s="6"/>
      <c r="L956" s="5"/>
      <c r="M956" s="6"/>
      <c r="P956" s="6"/>
      <c r="Q956" s="6"/>
      <c r="U956" s="5"/>
      <c r="V956" s="6"/>
      <c r="Y956" s="6"/>
      <c r="Z956" s="6"/>
      <c r="AD956" s="5"/>
      <c r="AE956" s="6"/>
      <c r="AH956" s="6"/>
      <c r="AI956" s="6"/>
      <c r="AM956" s="5"/>
      <c r="AN956" s="6"/>
      <c r="AQ956" s="6"/>
      <c r="AR956" s="6"/>
    </row>
    <row r="957" spans="3:44" ht="13.2" x14ac:dyDescent="0.25">
      <c r="C957" s="5"/>
      <c r="D957" s="6"/>
      <c r="G957" s="6"/>
      <c r="H957" s="6"/>
      <c r="L957" s="5"/>
      <c r="M957" s="6"/>
      <c r="P957" s="6"/>
      <c r="Q957" s="6"/>
      <c r="U957" s="5"/>
      <c r="V957" s="6"/>
      <c r="Y957" s="6"/>
      <c r="Z957" s="6"/>
      <c r="AD957" s="5"/>
      <c r="AE957" s="6"/>
      <c r="AH957" s="6"/>
      <c r="AI957" s="6"/>
      <c r="AM957" s="5"/>
      <c r="AN957" s="6"/>
      <c r="AQ957" s="6"/>
      <c r="AR957" s="6"/>
    </row>
    <row r="958" spans="3:44" ht="13.2" x14ac:dyDescent="0.25">
      <c r="C958" s="5"/>
      <c r="D958" s="6"/>
      <c r="G958" s="6"/>
      <c r="H958" s="6"/>
      <c r="L958" s="5"/>
      <c r="M958" s="6"/>
      <c r="P958" s="6"/>
      <c r="Q958" s="6"/>
      <c r="U958" s="5"/>
      <c r="V958" s="6"/>
      <c r="Y958" s="6"/>
      <c r="Z958" s="6"/>
      <c r="AD958" s="5"/>
      <c r="AE958" s="6"/>
      <c r="AH958" s="6"/>
      <c r="AI958" s="6"/>
      <c r="AM958" s="5"/>
      <c r="AN958" s="6"/>
      <c r="AQ958" s="6"/>
      <c r="AR958" s="6"/>
    </row>
    <row r="959" spans="3:44" ht="13.2" x14ac:dyDescent="0.25">
      <c r="C959" s="5"/>
      <c r="D959" s="6"/>
      <c r="G959" s="6"/>
      <c r="H959" s="6"/>
      <c r="L959" s="5"/>
      <c r="M959" s="6"/>
      <c r="P959" s="6"/>
      <c r="Q959" s="6"/>
      <c r="U959" s="5"/>
      <c r="V959" s="6"/>
      <c r="Y959" s="6"/>
      <c r="Z959" s="6"/>
      <c r="AD959" s="5"/>
      <c r="AE959" s="6"/>
      <c r="AH959" s="6"/>
      <c r="AI959" s="6"/>
      <c r="AM959" s="5"/>
      <c r="AN959" s="6"/>
      <c r="AQ959" s="6"/>
      <c r="AR959" s="6"/>
    </row>
    <row r="960" spans="3:44" ht="13.2" x14ac:dyDescent="0.25">
      <c r="C960" s="5"/>
      <c r="D960" s="6"/>
      <c r="G960" s="6"/>
      <c r="H960" s="6"/>
      <c r="L960" s="5"/>
      <c r="M960" s="6"/>
      <c r="P960" s="6"/>
      <c r="Q960" s="6"/>
      <c r="U960" s="5"/>
      <c r="V960" s="6"/>
      <c r="Y960" s="6"/>
      <c r="Z960" s="6"/>
      <c r="AD960" s="5"/>
      <c r="AE960" s="6"/>
      <c r="AH960" s="6"/>
      <c r="AI960" s="6"/>
      <c r="AM960" s="5"/>
      <c r="AN960" s="6"/>
      <c r="AQ960" s="6"/>
      <c r="AR960" s="6"/>
    </row>
    <row r="961" spans="3:44" ht="13.2" x14ac:dyDescent="0.25">
      <c r="C961" s="5"/>
      <c r="D961" s="6"/>
      <c r="G961" s="6"/>
      <c r="H961" s="6"/>
      <c r="L961" s="5"/>
      <c r="M961" s="6"/>
      <c r="P961" s="6"/>
      <c r="Q961" s="6"/>
      <c r="U961" s="5"/>
      <c r="V961" s="6"/>
      <c r="Y961" s="6"/>
      <c r="Z961" s="6"/>
      <c r="AD961" s="5"/>
      <c r="AE961" s="6"/>
      <c r="AH961" s="6"/>
      <c r="AI961" s="6"/>
      <c r="AM961" s="5"/>
      <c r="AN961" s="6"/>
      <c r="AQ961" s="6"/>
      <c r="AR961" s="6"/>
    </row>
    <row r="962" spans="3:44" ht="13.2" x14ac:dyDescent="0.25">
      <c r="C962" s="5"/>
      <c r="D962" s="6"/>
      <c r="G962" s="6"/>
      <c r="H962" s="6"/>
      <c r="L962" s="5"/>
      <c r="M962" s="6"/>
      <c r="P962" s="6"/>
      <c r="Q962" s="6"/>
      <c r="U962" s="5"/>
      <c r="V962" s="6"/>
      <c r="Y962" s="6"/>
      <c r="Z962" s="6"/>
      <c r="AD962" s="5"/>
      <c r="AE962" s="6"/>
      <c r="AH962" s="6"/>
      <c r="AI962" s="6"/>
      <c r="AM962" s="5"/>
      <c r="AN962" s="6"/>
      <c r="AQ962" s="6"/>
      <c r="AR962" s="6"/>
    </row>
    <row r="963" spans="3:44" ht="13.2" x14ac:dyDescent="0.25">
      <c r="C963" s="5"/>
      <c r="D963" s="6"/>
      <c r="G963" s="6"/>
      <c r="H963" s="6"/>
      <c r="L963" s="5"/>
      <c r="M963" s="6"/>
      <c r="P963" s="6"/>
      <c r="Q963" s="6"/>
      <c r="U963" s="5"/>
      <c r="V963" s="6"/>
      <c r="Y963" s="6"/>
      <c r="Z963" s="6"/>
      <c r="AD963" s="5"/>
      <c r="AE963" s="6"/>
      <c r="AH963" s="6"/>
      <c r="AI963" s="6"/>
      <c r="AM963" s="5"/>
      <c r="AN963" s="6"/>
      <c r="AQ963" s="6"/>
      <c r="AR963" s="6"/>
    </row>
    <row r="964" spans="3:44" ht="13.2" x14ac:dyDescent="0.25">
      <c r="C964" s="5"/>
      <c r="D964" s="6"/>
      <c r="G964" s="6"/>
      <c r="H964" s="6"/>
      <c r="L964" s="5"/>
      <c r="M964" s="6"/>
      <c r="P964" s="6"/>
      <c r="Q964" s="6"/>
      <c r="U964" s="5"/>
      <c r="V964" s="6"/>
      <c r="Y964" s="6"/>
      <c r="Z964" s="6"/>
      <c r="AD964" s="5"/>
      <c r="AE964" s="6"/>
      <c r="AH964" s="6"/>
      <c r="AI964" s="6"/>
      <c r="AM964" s="5"/>
      <c r="AN964" s="6"/>
      <c r="AQ964" s="6"/>
      <c r="AR964" s="6"/>
    </row>
    <row r="965" spans="3:44" ht="13.2" x14ac:dyDescent="0.25">
      <c r="C965" s="5"/>
      <c r="D965" s="6"/>
      <c r="G965" s="6"/>
      <c r="H965" s="6"/>
      <c r="L965" s="5"/>
      <c r="M965" s="6"/>
      <c r="P965" s="6"/>
      <c r="Q965" s="6"/>
      <c r="U965" s="5"/>
      <c r="V965" s="6"/>
      <c r="Y965" s="6"/>
      <c r="Z965" s="6"/>
      <c r="AD965" s="5"/>
      <c r="AE965" s="6"/>
      <c r="AH965" s="6"/>
      <c r="AI965" s="6"/>
      <c r="AM965" s="5"/>
      <c r="AN965" s="6"/>
      <c r="AQ965" s="6"/>
      <c r="AR965" s="6"/>
    </row>
    <row r="966" spans="3:44" ht="13.2" x14ac:dyDescent="0.25">
      <c r="C966" s="5"/>
      <c r="D966" s="6"/>
      <c r="G966" s="6"/>
      <c r="H966" s="6"/>
      <c r="L966" s="5"/>
      <c r="M966" s="6"/>
      <c r="P966" s="6"/>
      <c r="Q966" s="6"/>
      <c r="U966" s="5"/>
      <c r="V966" s="6"/>
      <c r="Y966" s="6"/>
      <c r="Z966" s="6"/>
      <c r="AD966" s="5"/>
      <c r="AE966" s="6"/>
      <c r="AH966" s="6"/>
      <c r="AI966" s="6"/>
      <c r="AM966" s="5"/>
      <c r="AN966" s="6"/>
      <c r="AQ966" s="6"/>
      <c r="AR966" s="6"/>
    </row>
    <row r="967" spans="3:44" ht="13.2" x14ac:dyDescent="0.25">
      <c r="C967" s="5"/>
      <c r="D967" s="6"/>
      <c r="G967" s="6"/>
      <c r="H967" s="6"/>
      <c r="L967" s="5"/>
      <c r="M967" s="6"/>
      <c r="P967" s="6"/>
      <c r="Q967" s="6"/>
      <c r="U967" s="5"/>
      <c r="V967" s="6"/>
      <c r="Y967" s="6"/>
      <c r="Z967" s="6"/>
      <c r="AD967" s="5"/>
      <c r="AE967" s="6"/>
      <c r="AH967" s="6"/>
      <c r="AI967" s="6"/>
      <c r="AM967" s="5"/>
      <c r="AN967" s="6"/>
      <c r="AQ967" s="6"/>
      <c r="AR967" s="6"/>
    </row>
    <row r="968" spans="3:44" ht="13.2" x14ac:dyDescent="0.25">
      <c r="C968" s="5"/>
      <c r="D968" s="6"/>
      <c r="G968" s="6"/>
      <c r="H968" s="6"/>
      <c r="L968" s="5"/>
      <c r="M968" s="6"/>
      <c r="P968" s="6"/>
      <c r="Q968" s="6"/>
      <c r="U968" s="5"/>
      <c r="V968" s="6"/>
      <c r="Y968" s="6"/>
      <c r="Z968" s="6"/>
      <c r="AD968" s="5"/>
      <c r="AE968" s="6"/>
      <c r="AH968" s="6"/>
      <c r="AI968" s="6"/>
      <c r="AM968" s="5"/>
      <c r="AN968" s="6"/>
      <c r="AQ968" s="6"/>
      <c r="AR968" s="6"/>
    </row>
    <row r="969" spans="3:44" ht="13.2" x14ac:dyDescent="0.25">
      <c r="C969" s="5"/>
      <c r="D969" s="6"/>
      <c r="G969" s="6"/>
      <c r="H969" s="6"/>
      <c r="L969" s="5"/>
      <c r="M969" s="6"/>
      <c r="P969" s="6"/>
      <c r="Q969" s="6"/>
      <c r="U969" s="5"/>
      <c r="V969" s="6"/>
      <c r="Y969" s="6"/>
      <c r="Z969" s="6"/>
      <c r="AD969" s="5"/>
      <c r="AE969" s="6"/>
      <c r="AH969" s="6"/>
      <c r="AI969" s="6"/>
      <c r="AM969" s="5"/>
      <c r="AN969" s="6"/>
      <c r="AQ969" s="6"/>
      <c r="AR969" s="6"/>
    </row>
    <row r="970" spans="3:44" ht="13.2" x14ac:dyDescent="0.25">
      <c r="C970" s="5"/>
      <c r="D970" s="6"/>
      <c r="G970" s="6"/>
      <c r="H970" s="6"/>
      <c r="L970" s="5"/>
      <c r="M970" s="6"/>
      <c r="P970" s="6"/>
      <c r="Q970" s="6"/>
      <c r="U970" s="5"/>
      <c r="V970" s="6"/>
      <c r="Y970" s="6"/>
      <c r="Z970" s="6"/>
      <c r="AD970" s="5"/>
      <c r="AE970" s="6"/>
      <c r="AH970" s="6"/>
      <c r="AI970" s="6"/>
      <c r="AM970" s="5"/>
      <c r="AN970" s="6"/>
      <c r="AQ970" s="6"/>
      <c r="AR970" s="6"/>
    </row>
    <row r="971" spans="3:44" ht="13.2" x14ac:dyDescent="0.25">
      <c r="C971" s="5"/>
      <c r="D971" s="6"/>
      <c r="G971" s="6"/>
      <c r="H971" s="6"/>
      <c r="L971" s="5"/>
      <c r="M971" s="6"/>
      <c r="P971" s="6"/>
      <c r="Q971" s="6"/>
      <c r="U971" s="5"/>
      <c r="V971" s="6"/>
      <c r="Y971" s="6"/>
      <c r="Z971" s="6"/>
      <c r="AD971" s="5"/>
      <c r="AE971" s="6"/>
      <c r="AH971" s="6"/>
      <c r="AI971" s="6"/>
      <c r="AM971" s="5"/>
      <c r="AN971" s="6"/>
      <c r="AQ971" s="6"/>
      <c r="AR971" s="6"/>
    </row>
    <row r="972" spans="3:44" ht="13.2" x14ac:dyDescent="0.25">
      <c r="C972" s="5"/>
      <c r="D972" s="6"/>
      <c r="G972" s="6"/>
      <c r="H972" s="6"/>
      <c r="L972" s="5"/>
      <c r="M972" s="6"/>
      <c r="P972" s="6"/>
      <c r="Q972" s="6"/>
      <c r="U972" s="5"/>
      <c r="V972" s="6"/>
      <c r="Y972" s="6"/>
      <c r="Z972" s="6"/>
      <c r="AD972" s="5"/>
      <c r="AE972" s="6"/>
      <c r="AH972" s="6"/>
      <c r="AI972" s="6"/>
      <c r="AM972" s="5"/>
      <c r="AN972" s="6"/>
      <c r="AQ972" s="6"/>
      <c r="AR972" s="6"/>
    </row>
    <row r="973" spans="3:44" ht="13.2" x14ac:dyDescent="0.25">
      <c r="C973" s="5"/>
      <c r="D973" s="6"/>
      <c r="G973" s="6"/>
      <c r="H973" s="6"/>
      <c r="L973" s="5"/>
      <c r="M973" s="6"/>
      <c r="P973" s="6"/>
      <c r="Q973" s="6"/>
      <c r="U973" s="5"/>
      <c r="V973" s="6"/>
      <c r="Y973" s="6"/>
      <c r="Z973" s="6"/>
      <c r="AD973" s="5"/>
      <c r="AE973" s="6"/>
      <c r="AH973" s="6"/>
      <c r="AI973" s="6"/>
      <c r="AM973" s="5"/>
      <c r="AN973" s="6"/>
      <c r="AQ973" s="6"/>
      <c r="AR973" s="6"/>
    </row>
    <row r="974" spans="3:44" ht="13.2" x14ac:dyDescent="0.25">
      <c r="C974" s="5"/>
      <c r="D974" s="6"/>
      <c r="G974" s="6"/>
      <c r="H974" s="6"/>
      <c r="L974" s="5"/>
      <c r="M974" s="6"/>
      <c r="P974" s="6"/>
      <c r="Q974" s="6"/>
      <c r="U974" s="5"/>
      <c r="V974" s="6"/>
      <c r="Y974" s="6"/>
      <c r="Z974" s="6"/>
      <c r="AD974" s="5"/>
      <c r="AE974" s="6"/>
      <c r="AH974" s="6"/>
      <c r="AI974" s="6"/>
      <c r="AM974" s="5"/>
      <c r="AN974" s="6"/>
      <c r="AQ974" s="6"/>
      <c r="AR974" s="6"/>
    </row>
    <row r="975" spans="3:44" ht="13.2" x14ac:dyDescent="0.25">
      <c r="C975" s="5"/>
      <c r="D975" s="6"/>
      <c r="G975" s="6"/>
      <c r="H975" s="6"/>
      <c r="L975" s="5"/>
      <c r="M975" s="6"/>
      <c r="P975" s="6"/>
      <c r="Q975" s="6"/>
      <c r="U975" s="5"/>
      <c r="V975" s="6"/>
      <c r="Y975" s="6"/>
      <c r="Z975" s="6"/>
      <c r="AD975" s="5"/>
      <c r="AE975" s="6"/>
      <c r="AH975" s="6"/>
      <c r="AI975" s="6"/>
      <c r="AM975" s="5"/>
      <c r="AN975" s="6"/>
      <c r="AQ975" s="6"/>
      <c r="AR975" s="6"/>
    </row>
    <row r="976" spans="3:44" ht="13.2" x14ac:dyDescent="0.25">
      <c r="C976" s="5"/>
      <c r="D976" s="6"/>
      <c r="G976" s="6"/>
      <c r="H976" s="6"/>
      <c r="L976" s="5"/>
      <c r="M976" s="6"/>
      <c r="P976" s="6"/>
      <c r="Q976" s="6"/>
      <c r="U976" s="5"/>
      <c r="V976" s="6"/>
      <c r="Y976" s="6"/>
      <c r="Z976" s="6"/>
      <c r="AD976" s="5"/>
      <c r="AE976" s="6"/>
      <c r="AH976" s="6"/>
      <c r="AI976" s="6"/>
      <c r="AM976" s="5"/>
      <c r="AN976" s="6"/>
      <c r="AQ976" s="6"/>
      <c r="AR976" s="6"/>
    </row>
    <row r="977" spans="3:44" ht="13.2" x14ac:dyDescent="0.25">
      <c r="C977" s="5"/>
      <c r="D977" s="6"/>
      <c r="G977" s="6"/>
      <c r="H977" s="6"/>
      <c r="L977" s="5"/>
      <c r="M977" s="6"/>
      <c r="P977" s="6"/>
      <c r="Q977" s="6"/>
      <c r="U977" s="5"/>
      <c r="V977" s="6"/>
      <c r="Y977" s="6"/>
      <c r="Z977" s="6"/>
      <c r="AD977" s="5"/>
      <c r="AE977" s="6"/>
      <c r="AH977" s="6"/>
      <c r="AI977" s="6"/>
      <c r="AM977" s="5"/>
      <c r="AN977" s="6"/>
      <c r="AQ977" s="6"/>
      <c r="AR977" s="6"/>
    </row>
    <row r="978" spans="3:44" ht="13.2" x14ac:dyDescent="0.25">
      <c r="C978" s="5"/>
      <c r="D978" s="6"/>
      <c r="G978" s="6"/>
      <c r="H978" s="6"/>
      <c r="L978" s="5"/>
      <c r="M978" s="6"/>
      <c r="P978" s="6"/>
      <c r="Q978" s="6"/>
      <c r="U978" s="5"/>
      <c r="V978" s="6"/>
      <c r="Y978" s="6"/>
      <c r="Z978" s="6"/>
      <c r="AD978" s="5"/>
      <c r="AE978" s="6"/>
      <c r="AH978" s="6"/>
      <c r="AI978" s="6"/>
      <c r="AM978" s="5"/>
      <c r="AN978" s="6"/>
      <c r="AQ978" s="6"/>
      <c r="AR978" s="6"/>
    </row>
    <row r="979" spans="3:44" ht="13.2" x14ac:dyDescent="0.25">
      <c r="C979" s="5"/>
      <c r="D979" s="6"/>
      <c r="G979" s="6"/>
      <c r="H979" s="6"/>
      <c r="L979" s="5"/>
      <c r="M979" s="6"/>
      <c r="P979" s="6"/>
      <c r="Q979" s="6"/>
      <c r="U979" s="5"/>
      <c r="V979" s="6"/>
      <c r="Y979" s="6"/>
      <c r="Z979" s="6"/>
      <c r="AD979" s="5"/>
      <c r="AE979" s="6"/>
      <c r="AH979" s="6"/>
      <c r="AI979" s="6"/>
      <c r="AM979" s="5"/>
      <c r="AN979" s="6"/>
      <c r="AQ979" s="6"/>
      <c r="AR979" s="6"/>
    </row>
    <row r="980" spans="3:44" ht="13.2" x14ac:dyDescent="0.25">
      <c r="C980" s="5"/>
      <c r="D980" s="6"/>
      <c r="G980" s="6"/>
      <c r="H980" s="6"/>
      <c r="L980" s="5"/>
      <c r="M980" s="6"/>
      <c r="P980" s="6"/>
      <c r="Q980" s="6"/>
      <c r="U980" s="5"/>
      <c r="V980" s="6"/>
      <c r="Y980" s="6"/>
      <c r="Z980" s="6"/>
      <c r="AD980" s="5"/>
      <c r="AE980" s="6"/>
      <c r="AH980" s="6"/>
      <c r="AI980" s="6"/>
      <c r="AM980" s="5"/>
      <c r="AN980" s="6"/>
      <c r="AQ980" s="6"/>
      <c r="AR980" s="6"/>
    </row>
    <row r="981" spans="3:44" ht="13.2" x14ac:dyDescent="0.25">
      <c r="C981" s="5"/>
      <c r="D981" s="6"/>
      <c r="G981" s="6"/>
      <c r="H981" s="6"/>
      <c r="L981" s="5"/>
      <c r="M981" s="6"/>
      <c r="P981" s="6"/>
      <c r="Q981" s="6"/>
      <c r="U981" s="5"/>
      <c r="V981" s="6"/>
      <c r="Y981" s="6"/>
      <c r="Z981" s="6"/>
      <c r="AD981" s="5"/>
      <c r="AE981" s="6"/>
      <c r="AH981" s="6"/>
      <c r="AI981" s="6"/>
      <c r="AM981" s="5"/>
      <c r="AN981" s="6"/>
      <c r="AQ981" s="6"/>
      <c r="AR981" s="6"/>
    </row>
    <row r="982" spans="3:44" ht="13.2" x14ac:dyDescent="0.25">
      <c r="C982" s="5"/>
      <c r="D982" s="6"/>
      <c r="G982" s="6"/>
      <c r="H982" s="6"/>
      <c r="L982" s="5"/>
      <c r="M982" s="6"/>
      <c r="P982" s="6"/>
      <c r="Q982" s="6"/>
      <c r="U982" s="5"/>
      <c r="V982" s="6"/>
      <c r="Y982" s="6"/>
      <c r="Z982" s="6"/>
      <c r="AD982" s="5"/>
      <c r="AE982" s="6"/>
      <c r="AH982" s="6"/>
      <c r="AI982" s="6"/>
      <c r="AM982" s="5"/>
      <c r="AN982" s="6"/>
      <c r="AQ982" s="6"/>
      <c r="AR982" s="6"/>
    </row>
    <row r="983" spans="3:44" ht="13.2" x14ac:dyDescent="0.25">
      <c r="C983" s="5"/>
      <c r="D983" s="6"/>
      <c r="G983" s="6"/>
      <c r="H983" s="6"/>
      <c r="L983" s="5"/>
      <c r="M983" s="6"/>
      <c r="P983" s="6"/>
      <c r="Q983" s="6"/>
      <c r="U983" s="5"/>
      <c r="V983" s="6"/>
      <c r="Y983" s="6"/>
      <c r="Z983" s="6"/>
      <c r="AD983" s="5"/>
      <c r="AE983" s="6"/>
      <c r="AH983" s="6"/>
      <c r="AI983" s="6"/>
      <c r="AM983" s="5"/>
      <c r="AN983" s="6"/>
      <c r="AQ983" s="6"/>
      <c r="AR983" s="6"/>
    </row>
    <row r="984" spans="3:44" ht="13.2" x14ac:dyDescent="0.25">
      <c r="C984" s="5"/>
      <c r="D984" s="6"/>
      <c r="G984" s="6"/>
      <c r="H984" s="6"/>
      <c r="L984" s="5"/>
      <c r="M984" s="6"/>
      <c r="P984" s="6"/>
      <c r="Q984" s="6"/>
      <c r="U984" s="5"/>
      <c r="V984" s="6"/>
      <c r="Y984" s="6"/>
      <c r="Z984" s="6"/>
      <c r="AD984" s="5"/>
      <c r="AE984" s="6"/>
      <c r="AH984" s="6"/>
      <c r="AI984" s="6"/>
      <c r="AM984" s="5"/>
      <c r="AN984" s="6"/>
      <c r="AQ984" s="6"/>
      <c r="AR984" s="6"/>
    </row>
    <row r="985" spans="3:44" ht="13.2" x14ac:dyDescent="0.25">
      <c r="C985" s="5"/>
      <c r="D985" s="6"/>
      <c r="G985" s="6"/>
      <c r="H985" s="6"/>
      <c r="L985" s="5"/>
      <c r="M985" s="6"/>
      <c r="P985" s="6"/>
      <c r="Q985" s="6"/>
      <c r="U985" s="5"/>
      <c r="V985" s="6"/>
      <c r="Y985" s="6"/>
      <c r="Z985" s="6"/>
      <c r="AD985" s="5"/>
      <c r="AE985" s="6"/>
      <c r="AH985" s="6"/>
      <c r="AI985" s="6"/>
      <c r="AM985" s="5"/>
      <c r="AN985" s="6"/>
      <c r="AQ985" s="6"/>
      <c r="AR985" s="6"/>
    </row>
    <row r="986" spans="3:44" ht="13.2" x14ac:dyDescent="0.25">
      <c r="C986" s="5"/>
      <c r="D986" s="6"/>
      <c r="G986" s="6"/>
      <c r="H986" s="6"/>
      <c r="L986" s="5"/>
      <c r="M986" s="6"/>
      <c r="P986" s="6"/>
      <c r="Q986" s="6"/>
      <c r="U986" s="5"/>
      <c r="V986" s="6"/>
      <c r="Y986" s="6"/>
      <c r="Z986" s="6"/>
      <c r="AD986" s="5"/>
      <c r="AE986" s="6"/>
      <c r="AH986" s="6"/>
      <c r="AI986" s="6"/>
      <c r="AM986" s="5"/>
      <c r="AN986" s="6"/>
      <c r="AQ986" s="6"/>
      <c r="AR986" s="6"/>
    </row>
    <row r="987" spans="3:44" ht="13.2" x14ac:dyDescent="0.25">
      <c r="C987" s="5"/>
      <c r="D987" s="6"/>
      <c r="G987" s="6"/>
      <c r="H987" s="6"/>
      <c r="L987" s="5"/>
      <c r="M987" s="6"/>
      <c r="P987" s="6"/>
      <c r="Q987" s="6"/>
      <c r="U987" s="5"/>
      <c r="V987" s="6"/>
      <c r="Y987" s="6"/>
      <c r="Z987" s="6"/>
      <c r="AD987" s="5"/>
      <c r="AE987" s="6"/>
      <c r="AH987" s="6"/>
      <c r="AI987" s="6"/>
      <c r="AM987" s="5"/>
      <c r="AN987" s="6"/>
      <c r="AQ987" s="6"/>
      <c r="AR987" s="6"/>
    </row>
    <row r="988" spans="3:44" ht="13.2" x14ac:dyDescent="0.25">
      <c r="C988" s="5"/>
      <c r="D988" s="6"/>
      <c r="G988" s="6"/>
      <c r="H988" s="6"/>
      <c r="L988" s="5"/>
      <c r="M988" s="6"/>
      <c r="P988" s="6"/>
      <c r="Q988" s="6"/>
      <c r="U988" s="5"/>
      <c r="V988" s="6"/>
      <c r="Y988" s="6"/>
      <c r="Z988" s="6"/>
      <c r="AD988" s="5"/>
      <c r="AE988" s="6"/>
      <c r="AH988" s="6"/>
      <c r="AI988" s="6"/>
      <c r="AM988" s="5"/>
      <c r="AN988" s="6"/>
      <c r="AQ988" s="6"/>
      <c r="AR988" s="6"/>
    </row>
    <row r="989" spans="3:44" ht="13.2" x14ac:dyDescent="0.25">
      <c r="C989" s="5"/>
      <c r="D989" s="6"/>
      <c r="G989" s="6"/>
      <c r="H989" s="6"/>
      <c r="L989" s="5"/>
      <c r="M989" s="6"/>
      <c r="P989" s="6"/>
      <c r="Q989" s="6"/>
      <c r="U989" s="5"/>
      <c r="V989" s="6"/>
      <c r="Y989" s="6"/>
      <c r="Z989" s="6"/>
      <c r="AD989" s="5"/>
      <c r="AE989" s="6"/>
      <c r="AH989" s="6"/>
      <c r="AI989" s="6"/>
      <c r="AM989" s="5"/>
      <c r="AN989" s="6"/>
      <c r="AQ989" s="6"/>
      <c r="AR989" s="6"/>
    </row>
    <row r="990" spans="3:44" ht="13.2" x14ac:dyDescent="0.25">
      <c r="C990" s="5"/>
      <c r="D990" s="6"/>
      <c r="G990" s="6"/>
      <c r="H990" s="6"/>
      <c r="L990" s="5"/>
      <c r="M990" s="6"/>
      <c r="P990" s="6"/>
      <c r="Q990" s="6"/>
      <c r="U990" s="5"/>
      <c r="V990" s="6"/>
      <c r="Y990" s="6"/>
      <c r="Z990" s="6"/>
      <c r="AD990" s="5"/>
      <c r="AE990" s="6"/>
      <c r="AH990" s="6"/>
      <c r="AI990" s="6"/>
      <c r="AM990" s="5"/>
      <c r="AN990" s="6"/>
      <c r="AQ990" s="6"/>
      <c r="AR990" s="6"/>
    </row>
    <row r="991" spans="3:44" ht="13.2" x14ac:dyDescent="0.25">
      <c r="C991" s="5"/>
      <c r="D991" s="6"/>
      <c r="G991" s="6"/>
      <c r="H991" s="6"/>
      <c r="L991" s="5"/>
      <c r="M991" s="6"/>
      <c r="P991" s="6"/>
      <c r="Q991" s="6"/>
      <c r="U991" s="5"/>
      <c r="V991" s="6"/>
      <c r="Y991" s="6"/>
      <c r="Z991" s="6"/>
      <c r="AD991" s="5"/>
      <c r="AE991" s="6"/>
      <c r="AH991" s="6"/>
      <c r="AI991" s="6"/>
      <c r="AM991" s="5"/>
      <c r="AN991" s="6"/>
      <c r="AQ991" s="6"/>
      <c r="AR991" s="6"/>
    </row>
    <row r="992" spans="3:44" ht="13.2" x14ac:dyDescent="0.25">
      <c r="C992" s="5"/>
      <c r="D992" s="6"/>
      <c r="G992" s="6"/>
      <c r="H992" s="6"/>
      <c r="L992" s="5"/>
      <c r="M992" s="6"/>
      <c r="P992" s="6"/>
      <c r="Q992" s="6"/>
      <c r="U992" s="5"/>
      <c r="V992" s="6"/>
      <c r="Y992" s="6"/>
      <c r="Z992" s="6"/>
      <c r="AD992" s="5"/>
      <c r="AE992" s="6"/>
      <c r="AH992" s="6"/>
      <c r="AI992" s="6"/>
      <c r="AM992" s="5"/>
      <c r="AN992" s="6"/>
      <c r="AQ992" s="6"/>
      <c r="AR992" s="6"/>
    </row>
    <row r="993" spans="3:44" ht="13.2" x14ac:dyDescent="0.25">
      <c r="C993" s="5"/>
      <c r="D993" s="6"/>
      <c r="G993" s="6"/>
      <c r="H993" s="6"/>
      <c r="L993" s="5"/>
      <c r="M993" s="6"/>
      <c r="P993" s="6"/>
      <c r="Q993" s="6"/>
      <c r="U993" s="5"/>
      <c r="V993" s="6"/>
      <c r="Y993" s="6"/>
      <c r="Z993" s="6"/>
      <c r="AD993" s="5"/>
      <c r="AE993" s="6"/>
      <c r="AH993" s="6"/>
      <c r="AI993" s="6"/>
      <c r="AM993" s="5"/>
      <c r="AN993" s="6"/>
      <c r="AQ993" s="6"/>
      <c r="AR993" s="6"/>
    </row>
    <row r="994" spans="3:44" ht="13.2" x14ac:dyDescent="0.25">
      <c r="C994" s="5"/>
      <c r="D994" s="6"/>
      <c r="G994" s="6"/>
      <c r="H994" s="6"/>
      <c r="L994" s="5"/>
      <c r="M994" s="6"/>
      <c r="P994" s="6"/>
      <c r="Q994" s="6"/>
      <c r="U994" s="5"/>
      <c r="V994" s="6"/>
      <c r="Y994" s="6"/>
      <c r="Z994" s="6"/>
      <c r="AD994" s="5"/>
      <c r="AE994" s="6"/>
      <c r="AH994" s="6"/>
      <c r="AI994" s="6"/>
      <c r="AM994" s="5"/>
      <c r="AN994" s="6"/>
      <c r="AQ994" s="6"/>
      <c r="AR994" s="6"/>
    </row>
    <row r="995" spans="3:44" ht="13.2" x14ac:dyDescent="0.25">
      <c r="C995" s="5"/>
      <c r="D995" s="6"/>
      <c r="G995" s="6"/>
      <c r="H995" s="6"/>
      <c r="L995" s="5"/>
      <c r="M995" s="6"/>
      <c r="P995" s="6"/>
      <c r="Q995" s="6"/>
      <c r="U995" s="5"/>
      <c r="V995" s="6"/>
      <c r="Y995" s="6"/>
      <c r="Z995" s="6"/>
      <c r="AD995" s="5"/>
      <c r="AE995" s="6"/>
      <c r="AH995" s="6"/>
      <c r="AI995" s="6"/>
      <c r="AM995" s="5"/>
      <c r="AN995" s="6"/>
      <c r="AQ995" s="6"/>
      <c r="AR995" s="6"/>
    </row>
    <row r="996" spans="3:44" ht="13.2" x14ac:dyDescent="0.25">
      <c r="C996" s="5"/>
      <c r="D996" s="6"/>
      <c r="G996" s="6"/>
      <c r="H996" s="6"/>
      <c r="L996" s="5"/>
      <c r="M996" s="6"/>
      <c r="P996" s="6"/>
      <c r="Q996" s="6"/>
      <c r="U996" s="5"/>
      <c r="V996" s="6"/>
      <c r="Y996" s="6"/>
      <c r="Z996" s="6"/>
      <c r="AD996" s="5"/>
      <c r="AE996" s="6"/>
      <c r="AH996" s="6"/>
      <c r="AI996" s="6"/>
      <c r="AM996" s="5"/>
      <c r="AN996" s="6"/>
      <c r="AQ996" s="6"/>
      <c r="AR996" s="6"/>
    </row>
    <row r="997" spans="3:44" ht="13.2" x14ac:dyDescent="0.25">
      <c r="C997" s="5"/>
      <c r="D997" s="6"/>
      <c r="G997" s="6"/>
      <c r="H997" s="6"/>
      <c r="L997" s="5"/>
      <c r="M997" s="6"/>
      <c r="P997" s="6"/>
      <c r="Q997" s="6"/>
      <c r="U997" s="5"/>
      <c r="V997" s="6"/>
      <c r="Y997" s="6"/>
      <c r="Z997" s="6"/>
      <c r="AD997" s="5"/>
      <c r="AE997" s="6"/>
      <c r="AH997" s="6"/>
      <c r="AI997" s="6"/>
      <c r="AM997" s="5"/>
      <c r="AN997" s="6"/>
      <c r="AQ997" s="6"/>
      <c r="AR997" s="6"/>
    </row>
    <row r="998" spans="3:44" ht="13.2" x14ac:dyDescent="0.25">
      <c r="C998" s="5"/>
      <c r="D998" s="6"/>
      <c r="G998" s="6"/>
      <c r="H998" s="6"/>
      <c r="L998" s="5"/>
      <c r="M998" s="6"/>
      <c r="P998" s="6"/>
      <c r="Q998" s="6"/>
      <c r="U998" s="5"/>
      <c r="V998" s="6"/>
      <c r="Y998" s="6"/>
      <c r="Z998" s="6"/>
      <c r="AD998" s="5"/>
      <c r="AE998" s="6"/>
      <c r="AH998" s="6"/>
      <c r="AI998" s="6"/>
      <c r="AM998" s="5"/>
      <c r="AN998" s="6"/>
      <c r="AQ998" s="6"/>
      <c r="AR998" s="6"/>
    </row>
    <row r="999" spans="3:44" ht="13.2" x14ac:dyDescent="0.25">
      <c r="C999" s="5"/>
      <c r="D999" s="6"/>
      <c r="G999" s="6"/>
      <c r="H999" s="6"/>
      <c r="L999" s="5"/>
      <c r="M999" s="6"/>
      <c r="P999" s="6"/>
      <c r="Q999" s="6"/>
      <c r="U999" s="5"/>
      <c r="V999" s="6"/>
      <c r="Y999" s="6"/>
      <c r="Z999" s="6"/>
      <c r="AD999" s="5"/>
      <c r="AE999" s="6"/>
      <c r="AH999" s="6"/>
      <c r="AI999" s="6"/>
      <c r="AM999" s="5"/>
      <c r="AN999" s="6"/>
      <c r="AQ999" s="6"/>
      <c r="AR999" s="6"/>
    </row>
    <row r="1000" spans="3:44" ht="13.2" x14ac:dyDescent="0.25">
      <c r="C1000" s="5"/>
      <c r="D1000" s="6"/>
      <c r="G1000" s="6"/>
      <c r="H1000" s="6"/>
      <c r="L1000" s="5"/>
      <c r="M1000" s="6"/>
      <c r="P1000" s="6"/>
      <c r="Q1000" s="6"/>
      <c r="U1000" s="5"/>
      <c r="V1000" s="6"/>
      <c r="Y1000" s="6"/>
      <c r="Z1000" s="6"/>
      <c r="AD1000" s="5"/>
      <c r="AE1000" s="6"/>
      <c r="AH1000" s="6"/>
      <c r="AI1000" s="6"/>
      <c r="AM1000" s="5"/>
      <c r="AN1000" s="6"/>
      <c r="AQ1000" s="6"/>
      <c r="AR1000" s="6"/>
    </row>
    <row r="1001" spans="3:44" ht="13.2" x14ac:dyDescent="0.25">
      <c r="C1001" s="5"/>
      <c r="D1001" s="6"/>
      <c r="G1001" s="6"/>
      <c r="H1001" s="6"/>
      <c r="L1001" s="5"/>
      <c r="M1001" s="6"/>
      <c r="P1001" s="6"/>
      <c r="Q1001" s="6"/>
      <c r="U1001" s="5"/>
      <c r="V1001" s="6"/>
      <c r="Y1001" s="6"/>
      <c r="Z1001" s="6"/>
      <c r="AD1001" s="5"/>
      <c r="AE1001" s="6"/>
      <c r="AH1001" s="6"/>
      <c r="AI1001" s="6"/>
      <c r="AM1001" s="5"/>
      <c r="AN1001" s="6"/>
      <c r="AQ1001" s="6"/>
      <c r="AR1001" s="6"/>
    </row>
    <row r="1002" spans="3:44" ht="13.2" x14ac:dyDescent="0.25">
      <c r="C1002" s="5"/>
      <c r="D1002" s="6"/>
      <c r="G1002" s="6"/>
      <c r="H1002" s="6"/>
      <c r="L1002" s="5"/>
      <c r="M1002" s="6"/>
      <c r="P1002" s="6"/>
      <c r="Q1002" s="6"/>
      <c r="U1002" s="5"/>
      <c r="V1002" s="6"/>
      <c r="Y1002" s="6"/>
      <c r="Z1002" s="6"/>
      <c r="AD1002" s="5"/>
      <c r="AE1002" s="6"/>
      <c r="AH1002" s="6"/>
      <c r="AI1002" s="6"/>
      <c r="AM1002" s="5"/>
      <c r="AN1002" s="6"/>
      <c r="AQ1002" s="6"/>
      <c r="AR1002" s="6"/>
    </row>
    <row r="1003" spans="3:44" ht="13.2" x14ac:dyDescent="0.25">
      <c r="C1003" s="5"/>
      <c r="D1003" s="6"/>
      <c r="G1003" s="6"/>
      <c r="H1003" s="6"/>
      <c r="L1003" s="5"/>
      <c r="M1003" s="6"/>
      <c r="P1003" s="6"/>
      <c r="Q1003" s="6"/>
      <c r="U1003" s="5"/>
      <c r="V1003" s="6"/>
      <c r="Y1003" s="6"/>
      <c r="Z1003" s="6"/>
      <c r="AD1003" s="5"/>
      <c r="AE1003" s="6"/>
      <c r="AH1003" s="6"/>
      <c r="AI1003" s="6"/>
      <c r="AM1003" s="5"/>
      <c r="AN1003" s="6"/>
      <c r="AQ1003" s="6"/>
      <c r="AR1003" s="6"/>
    </row>
    <row r="1004" spans="3:44" ht="13.2" x14ac:dyDescent="0.25">
      <c r="C1004" s="5"/>
      <c r="D1004" s="6"/>
      <c r="G1004" s="6"/>
      <c r="H1004" s="6"/>
      <c r="L1004" s="5"/>
      <c r="M1004" s="6"/>
      <c r="P1004" s="6"/>
      <c r="Q1004" s="6"/>
      <c r="U1004" s="5"/>
      <c r="V1004" s="6"/>
      <c r="Y1004" s="6"/>
      <c r="Z1004" s="6"/>
      <c r="AD1004" s="5"/>
      <c r="AE1004" s="6"/>
      <c r="AH1004" s="6"/>
      <c r="AI1004" s="6"/>
      <c r="AM1004" s="5"/>
      <c r="AN1004" s="6"/>
      <c r="AQ1004" s="6"/>
      <c r="AR1004" s="6"/>
    </row>
    <row r="1005" spans="3:44" ht="13.2" x14ac:dyDescent="0.25">
      <c r="C1005" s="5"/>
      <c r="D1005" s="6"/>
      <c r="G1005" s="6"/>
      <c r="H1005" s="6"/>
      <c r="L1005" s="5"/>
      <c r="M1005" s="6"/>
      <c r="P1005" s="6"/>
      <c r="Q1005" s="6"/>
      <c r="U1005" s="5"/>
      <c r="V1005" s="6"/>
      <c r="Y1005" s="6"/>
      <c r="Z1005" s="6"/>
      <c r="AD1005" s="5"/>
      <c r="AE1005" s="6"/>
      <c r="AH1005" s="6"/>
      <c r="AI1005" s="6"/>
      <c r="AM1005" s="5"/>
      <c r="AN1005" s="6"/>
      <c r="AQ1005" s="6"/>
      <c r="AR1005" s="6"/>
    </row>
    <row r="1006" spans="3:44" ht="13.2" x14ac:dyDescent="0.25">
      <c r="C1006" s="5"/>
      <c r="D1006" s="6"/>
      <c r="G1006" s="6"/>
      <c r="H1006" s="6"/>
      <c r="L1006" s="5"/>
      <c r="M1006" s="6"/>
      <c r="P1006" s="6"/>
      <c r="Q1006" s="6"/>
      <c r="U1006" s="5"/>
      <c r="V1006" s="6"/>
      <c r="Y1006" s="6"/>
      <c r="Z1006" s="6"/>
      <c r="AD1006" s="5"/>
      <c r="AE1006" s="6"/>
      <c r="AH1006" s="6"/>
      <c r="AI1006" s="6"/>
      <c r="AM1006" s="5"/>
      <c r="AN1006" s="6"/>
      <c r="AQ1006" s="6"/>
      <c r="AR1006" s="6"/>
    </row>
    <row r="1007" spans="3:44" ht="13.2" x14ac:dyDescent="0.25">
      <c r="C1007" s="5"/>
      <c r="D1007" s="6"/>
      <c r="G1007" s="6"/>
      <c r="H1007" s="6"/>
      <c r="L1007" s="5"/>
      <c r="M1007" s="6"/>
      <c r="P1007" s="6"/>
      <c r="Q1007" s="6"/>
      <c r="U1007" s="5"/>
      <c r="V1007" s="6"/>
      <c r="Y1007" s="6"/>
      <c r="Z1007" s="6"/>
      <c r="AD1007" s="5"/>
      <c r="AE1007" s="6"/>
      <c r="AH1007" s="6"/>
      <c r="AI1007" s="6"/>
      <c r="AM1007" s="5"/>
      <c r="AN1007" s="6"/>
      <c r="AQ1007" s="6"/>
      <c r="AR1007" s="6"/>
    </row>
    <row r="1008" spans="3:44" ht="13.2" x14ac:dyDescent="0.25">
      <c r="C1008" s="5"/>
      <c r="D1008" s="6"/>
      <c r="G1008" s="6"/>
      <c r="H1008" s="6"/>
      <c r="L1008" s="5"/>
      <c r="M1008" s="6"/>
      <c r="P1008" s="6"/>
      <c r="Q1008" s="6"/>
      <c r="U1008" s="5"/>
      <c r="V1008" s="6"/>
      <c r="Y1008" s="6"/>
      <c r="Z1008" s="6"/>
      <c r="AD1008" s="5"/>
      <c r="AE1008" s="6"/>
      <c r="AH1008" s="6"/>
      <c r="AI1008" s="6"/>
      <c r="AM1008" s="5"/>
      <c r="AN1008" s="6"/>
      <c r="AQ1008" s="6"/>
      <c r="AR1008" s="6"/>
    </row>
    <row r="1009" spans="3:44" ht="13.2" x14ac:dyDescent="0.25">
      <c r="C1009" s="5"/>
      <c r="D1009" s="6"/>
      <c r="G1009" s="6"/>
      <c r="H1009" s="6"/>
      <c r="L1009" s="5"/>
      <c r="M1009" s="6"/>
      <c r="P1009" s="6"/>
      <c r="Q1009" s="6"/>
      <c r="U1009" s="5"/>
      <c r="V1009" s="6"/>
      <c r="Y1009" s="6"/>
      <c r="Z1009" s="6"/>
      <c r="AD1009" s="5"/>
      <c r="AE1009" s="6"/>
      <c r="AH1009" s="6"/>
      <c r="AI1009" s="6"/>
      <c r="AM1009" s="5"/>
      <c r="AN1009" s="6"/>
      <c r="AQ1009" s="6"/>
      <c r="AR1009" s="6"/>
    </row>
    <row r="1010" spans="3:44" ht="13.2" x14ac:dyDescent="0.25">
      <c r="C1010" s="5"/>
      <c r="D1010" s="6"/>
      <c r="G1010" s="6"/>
      <c r="H1010" s="6"/>
      <c r="L1010" s="5"/>
      <c r="M1010" s="6"/>
      <c r="P1010" s="6"/>
      <c r="Q1010" s="6"/>
      <c r="U1010" s="5"/>
      <c r="V1010" s="6"/>
      <c r="Y1010" s="6"/>
      <c r="Z1010" s="6"/>
      <c r="AD1010" s="5"/>
      <c r="AE1010" s="6"/>
      <c r="AH1010" s="6"/>
      <c r="AI1010" s="6"/>
      <c r="AM1010" s="5"/>
      <c r="AN1010" s="6"/>
      <c r="AQ1010" s="6"/>
      <c r="AR1010" s="6"/>
    </row>
    <row r="1011" spans="3:44" ht="13.2" x14ac:dyDescent="0.25">
      <c r="C1011" s="5"/>
      <c r="D1011" s="6"/>
      <c r="G1011" s="6"/>
      <c r="H1011" s="6"/>
      <c r="L1011" s="5"/>
      <c r="M1011" s="6"/>
      <c r="P1011" s="6"/>
      <c r="Q1011" s="6"/>
      <c r="U1011" s="5"/>
      <c r="V1011" s="6"/>
      <c r="Y1011" s="6"/>
      <c r="Z1011" s="6"/>
      <c r="AD1011" s="5"/>
      <c r="AE1011" s="6"/>
      <c r="AH1011" s="6"/>
      <c r="AI1011" s="6"/>
      <c r="AM1011" s="5"/>
      <c r="AN1011" s="6"/>
      <c r="AQ1011" s="6"/>
      <c r="AR1011" s="6"/>
    </row>
    <row r="1012" spans="3:44" ht="13.2" x14ac:dyDescent="0.25">
      <c r="C1012" s="5"/>
      <c r="D1012" s="6"/>
      <c r="G1012" s="6"/>
      <c r="H1012" s="6"/>
      <c r="L1012" s="5"/>
      <c r="M1012" s="6"/>
      <c r="P1012" s="6"/>
      <c r="Q1012" s="6"/>
      <c r="U1012" s="5"/>
      <c r="V1012" s="6"/>
      <c r="Y1012" s="6"/>
      <c r="Z1012" s="6"/>
      <c r="AD1012" s="5"/>
      <c r="AE1012" s="6"/>
      <c r="AH1012" s="6"/>
      <c r="AI1012" s="6"/>
      <c r="AM1012" s="5"/>
      <c r="AN1012" s="6"/>
      <c r="AQ1012" s="6"/>
      <c r="AR1012" s="6"/>
    </row>
    <row r="1013" spans="3:44" ht="13.2" x14ac:dyDescent="0.25">
      <c r="C1013" s="5"/>
      <c r="D1013" s="6"/>
      <c r="G1013" s="6"/>
      <c r="H1013" s="6"/>
      <c r="L1013" s="5"/>
      <c r="M1013" s="6"/>
      <c r="P1013" s="6"/>
      <c r="Q1013" s="6"/>
      <c r="U1013" s="5"/>
      <c r="V1013" s="6"/>
      <c r="Y1013" s="6"/>
      <c r="Z1013" s="6"/>
      <c r="AD1013" s="5"/>
      <c r="AE1013" s="6"/>
      <c r="AH1013" s="6"/>
      <c r="AI1013" s="6"/>
      <c r="AM1013" s="5"/>
      <c r="AN1013" s="6"/>
      <c r="AQ1013" s="6"/>
      <c r="AR1013" s="6"/>
    </row>
    <row r="1014" spans="3:44" ht="13.2" x14ac:dyDescent="0.25">
      <c r="C1014" s="5"/>
      <c r="D1014" s="6"/>
      <c r="G1014" s="6"/>
      <c r="H1014" s="6"/>
      <c r="L1014" s="5"/>
      <c r="M1014" s="6"/>
      <c r="P1014" s="6"/>
      <c r="Q1014" s="6"/>
      <c r="U1014" s="5"/>
      <c r="V1014" s="6"/>
      <c r="Y1014" s="6"/>
      <c r="Z1014" s="6"/>
      <c r="AD1014" s="5"/>
      <c r="AE1014" s="6"/>
      <c r="AH1014" s="6"/>
      <c r="AI1014" s="6"/>
      <c r="AM1014" s="5"/>
      <c r="AN1014" s="6"/>
      <c r="AQ1014" s="6"/>
      <c r="AR1014" s="6"/>
    </row>
    <row r="1015" spans="3:44" ht="13.2" x14ac:dyDescent="0.25">
      <c r="C1015" s="5"/>
      <c r="D1015" s="6"/>
      <c r="G1015" s="6"/>
      <c r="H1015" s="6"/>
      <c r="L1015" s="5"/>
      <c r="M1015" s="6"/>
      <c r="P1015" s="6"/>
      <c r="Q1015" s="6"/>
      <c r="U1015" s="5"/>
      <c r="V1015" s="6"/>
      <c r="Y1015" s="6"/>
      <c r="Z1015" s="6"/>
      <c r="AD1015" s="5"/>
      <c r="AE1015" s="6"/>
      <c r="AH1015" s="6"/>
      <c r="AI1015" s="6"/>
      <c r="AM1015" s="5"/>
      <c r="AN1015" s="6"/>
      <c r="AQ1015" s="6"/>
      <c r="AR1015" s="6"/>
    </row>
    <row r="1016" spans="3:44" ht="13.2" x14ac:dyDescent="0.25">
      <c r="C1016" s="5"/>
      <c r="D1016" s="6"/>
      <c r="G1016" s="6"/>
      <c r="H1016" s="6"/>
      <c r="L1016" s="5"/>
      <c r="M1016" s="6"/>
      <c r="P1016" s="6"/>
      <c r="Q1016" s="6"/>
      <c r="U1016" s="5"/>
      <c r="V1016" s="6"/>
      <c r="Y1016" s="6"/>
      <c r="Z1016" s="6"/>
      <c r="AD1016" s="5"/>
      <c r="AE1016" s="6"/>
      <c r="AH1016" s="6"/>
      <c r="AI1016" s="6"/>
      <c r="AM1016" s="5"/>
      <c r="AN1016" s="6"/>
      <c r="AQ1016" s="6"/>
      <c r="AR1016" s="6"/>
    </row>
    <row r="1017" spans="3:44" ht="13.2" x14ac:dyDescent="0.25">
      <c r="C1017" s="5"/>
      <c r="D1017" s="6"/>
      <c r="G1017" s="6"/>
      <c r="H1017" s="6"/>
      <c r="L1017" s="5"/>
      <c r="M1017" s="6"/>
      <c r="P1017" s="6"/>
      <c r="Q1017" s="6"/>
      <c r="U1017" s="5"/>
      <c r="V1017" s="6"/>
      <c r="Y1017" s="6"/>
      <c r="Z1017" s="6"/>
      <c r="AD1017" s="5"/>
      <c r="AE1017" s="6"/>
      <c r="AH1017" s="6"/>
      <c r="AI1017" s="6"/>
      <c r="AM1017" s="5"/>
      <c r="AN1017" s="6"/>
      <c r="AQ1017" s="6"/>
      <c r="AR1017" s="6"/>
    </row>
    <row r="1018" spans="3:44" ht="13.2" x14ac:dyDescent="0.25">
      <c r="C1018" s="5"/>
      <c r="D1018" s="6"/>
      <c r="G1018" s="6"/>
      <c r="H1018" s="6"/>
      <c r="L1018" s="5"/>
      <c r="M1018" s="6"/>
      <c r="P1018" s="6"/>
      <c r="Q1018" s="6"/>
      <c r="U1018" s="5"/>
      <c r="V1018" s="6"/>
      <c r="Y1018" s="6"/>
      <c r="Z1018" s="6"/>
      <c r="AD1018" s="5"/>
      <c r="AE1018" s="6"/>
      <c r="AH1018" s="6"/>
      <c r="AI1018" s="6"/>
      <c r="AM1018" s="5"/>
      <c r="AN1018" s="6"/>
      <c r="AQ1018" s="6"/>
      <c r="AR1018" s="6"/>
    </row>
    <row r="1019" spans="3:44" ht="13.2" x14ac:dyDescent="0.25">
      <c r="C1019" s="5"/>
      <c r="D1019" s="6"/>
      <c r="G1019" s="6"/>
      <c r="H1019" s="6"/>
      <c r="L1019" s="5"/>
      <c r="M1019" s="6"/>
      <c r="P1019" s="6"/>
      <c r="Q1019" s="6"/>
      <c r="U1019" s="5"/>
      <c r="V1019" s="6"/>
      <c r="Y1019" s="6"/>
      <c r="Z1019" s="6"/>
      <c r="AD1019" s="5"/>
      <c r="AE1019" s="6"/>
      <c r="AH1019" s="6"/>
      <c r="AI1019" s="6"/>
      <c r="AM1019" s="5"/>
      <c r="AN1019" s="6"/>
      <c r="AQ1019" s="6"/>
      <c r="AR1019" s="6"/>
    </row>
    <row r="1020" spans="3:44" ht="13.2" x14ac:dyDescent="0.25">
      <c r="C1020" s="5"/>
      <c r="D1020" s="6"/>
      <c r="G1020" s="6"/>
      <c r="H1020" s="6"/>
      <c r="L1020" s="5"/>
      <c r="M1020" s="6"/>
      <c r="P1020" s="6"/>
      <c r="Q1020" s="6"/>
      <c r="U1020" s="5"/>
      <c r="V1020" s="6"/>
      <c r="Y1020" s="6"/>
      <c r="Z1020" s="6"/>
      <c r="AD1020" s="5"/>
      <c r="AE1020" s="6"/>
      <c r="AH1020" s="6"/>
      <c r="AI1020" s="6"/>
      <c r="AM1020" s="5"/>
      <c r="AN1020" s="6"/>
      <c r="AQ1020" s="6"/>
      <c r="AR1020" s="6"/>
    </row>
    <row r="1021" spans="3:44" ht="13.2" x14ac:dyDescent="0.25">
      <c r="C1021" s="5"/>
      <c r="D1021" s="6"/>
      <c r="G1021" s="6"/>
      <c r="H1021" s="6"/>
      <c r="L1021" s="5"/>
      <c r="M1021" s="6"/>
      <c r="P1021" s="6"/>
      <c r="Q1021" s="6"/>
      <c r="U1021" s="5"/>
      <c r="V1021" s="6"/>
      <c r="Y1021" s="6"/>
      <c r="Z1021" s="6"/>
      <c r="AD1021" s="5"/>
      <c r="AE1021" s="6"/>
      <c r="AH1021" s="6"/>
      <c r="AI1021" s="6"/>
      <c r="AM1021" s="5"/>
      <c r="AN1021" s="6"/>
      <c r="AQ1021" s="6"/>
      <c r="AR1021" s="6"/>
    </row>
    <row r="1022" spans="3:44" ht="13.2" x14ac:dyDescent="0.25">
      <c r="C1022" s="5"/>
      <c r="D1022" s="6"/>
      <c r="G1022" s="6"/>
      <c r="H1022" s="6"/>
      <c r="L1022" s="5"/>
      <c r="M1022" s="6"/>
      <c r="P1022" s="6"/>
      <c r="Q1022" s="6"/>
      <c r="U1022" s="5"/>
      <c r="V1022" s="6"/>
      <c r="Y1022" s="6"/>
      <c r="Z1022" s="6"/>
      <c r="AD1022" s="5"/>
      <c r="AE1022" s="6"/>
      <c r="AH1022" s="6"/>
      <c r="AI1022" s="6"/>
      <c r="AM1022" s="5"/>
      <c r="AN1022" s="6"/>
      <c r="AQ1022" s="6"/>
      <c r="AR1022" s="6"/>
    </row>
    <row r="1023" spans="3:44" ht="13.2" x14ac:dyDescent="0.25">
      <c r="C1023" s="5"/>
      <c r="D1023" s="6"/>
      <c r="G1023" s="6"/>
      <c r="H1023" s="6"/>
      <c r="L1023" s="5"/>
      <c r="M1023" s="6"/>
      <c r="P1023" s="6"/>
      <c r="Q1023" s="6"/>
      <c r="U1023" s="5"/>
      <c r="V1023" s="6"/>
      <c r="Y1023" s="6"/>
      <c r="Z1023" s="6"/>
      <c r="AD1023" s="5"/>
      <c r="AE1023" s="6"/>
      <c r="AH1023" s="6"/>
      <c r="AI1023" s="6"/>
      <c r="AM1023" s="5"/>
      <c r="AN1023" s="6"/>
      <c r="AQ1023" s="6"/>
      <c r="AR1023" s="6"/>
    </row>
    <row r="1024" spans="3:44" ht="13.2" x14ac:dyDescent="0.25">
      <c r="C1024" s="5"/>
      <c r="D1024" s="6"/>
      <c r="G1024" s="6"/>
      <c r="H1024" s="6"/>
      <c r="L1024" s="5"/>
      <c r="M1024" s="6"/>
      <c r="P1024" s="6"/>
      <c r="Q1024" s="6"/>
      <c r="U1024" s="5"/>
      <c r="V1024" s="6"/>
      <c r="Y1024" s="6"/>
      <c r="Z1024" s="6"/>
      <c r="AD1024" s="5"/>
      <c r="AE1024" s="6"/>
      <c r="AH1024" s="6"/>
      <c r="AI1024" s="6"/>
      <c r="AM1024" s="5"/>
      <c r="AN1024" s="6"/>
      <c r="AQ1024" s="6"/>
      <c r="AR1024" s="6"/>
    </row>
    <row r="1025" spans="3:44" ht="13.2" x14ac:dyDescent="0.25">
      <c r="C1025" s="5"/>
      <c r="D1025" s="6"/>
      <c r="G1025" s="6"/>
      <c r="H1025" s="6"/>
      <c r="L1025" s="5"/>
      <c r="M1025" s="6"/>
      <c r="P1025" s="6"/>
      <c r="Q1025" s="6"/>
      <c r="U1025" s="5"/>
      <c r="V1025" s="6"/>
      <c r="Y1025" s="6"/>
      <c r="Z1025" s="6"/>
      <c r="AD1025" s="5"/>
      <c r="AE1025" s="6"/>
      <c r="AH1025" s="6"/>
      <c r="AI1025" s="6"/>
      <c r="AM1025" s="5"/>
      <c r="AN1025" s="6"/>
      <c r="AQ1025" s="6"/>
      <c r="AR1025" s="6"/>
    </row>
    <row r="1026" spans="3:44" ht="13.2" x14ac:dyDescent="0.25">
      <c r="C1026" s="5"/>
      <c r="D1026" s="6"/>
      <c r="G1026" s="6"/>
      <c r="H1026" s="6"/>
      <c r="L1026" s="5"/>
      <c r="M1026" s="6"/>
      <c r="P1026" s="6"/>
      <c r="Q1026" s="6"/>
      <c r="U1026" s="5"/>
      <c r="V1026" s="6"/>
      <c r="Y1026" s="6"/>
      <c r="Z1026" s="6"/>
      <c r="AD1026" s="5"/>
      <c r="AE1026" s="6"/>
      <c r="AH1026" s="6"/>
      <c r="AI1026" s="6"/>
      <c r="AM1026" s="5"/>
      <c r="AN1026" s="6"/>
      <c r="AQ1026" s="6"/>
      <c r="AR1026" s="6"/>
    </row>
    <row r="1027" spans="3:44" ht="13.2" x14ac:dyDescent="0.25">
      <c r="C1027" s="5"/>
      <c r="D1027" s="6"/>
      <c r="G1027" s="6"/>
      <c r="H1027" s="6"/>
      <c r="L1027" s="5"/>
      <c r="M1027" s="6"/>
      <c r="P1027" s="6"/>
      <c r="Q1027" s="6"/>
      <c r="U1027" s="5"/>
      <c r="V1027" s="6"/>
      <c r="Y1027" s="6"/>
      <c r="Z1027" s="6"/>
      <c r="AD1027" s="5"/>
      <c r="AE1027" s="6"/>
      <c r="AH1027" s="6"/>
      <c r="AI1027" s="6"/>
      <c r="AM1027" s="5"/>
      <c r="AN1027" s="6"/>
      <c r="AQ1027" s="6"/>
      <c r="AR1027" s="6"/>
    </row>
    <row r="1028" spans="3:44" ht="13.2" x14ac:dyDescent="0.25">
      <c r="C1028" s="5"/>
      <c r="D1028" s="6"/>
      <c r="G1028" s="6"/>
      <c r="H1028" s="6"/>
      <c r="L1028" s="5"/>
      <c r="M1028" s="6"/>
      <c r="P1028" s="6"/>
      <c r="Q1028" s="6"/>
      <c r="U1028" s="5"/>
      <c r="V1028" s="6"/>
      <c r="Y1028" s="6"/>
      <c r="Z1028" s="6"/>
      <c r="AD1028" s="5"/>
      <c r="AE1028" s="6"/>
      <c r="AH1028" s="6"/>
      <c r="AI1028" s="6"/>
      <c r="AM1028" s="5"/>
      <c r="AN1028" s="6"/>
      <c r="AQ1028" s="6"/>
      <c r="AR1028" s="6"/>
    </row>
    <row r="1029" spans="3:44" ht="13.2" x14ac:dyDescent="0.25">
      <c r="C1029" s="5"/>
      <c r="D1029" s="6"/>
      <c r="G1029" s="6"/>
      <c r="H1029" s="6"/>
      <c r="L1029" s="5"/>
      <c r="M1029" s="6"/>
      <c r="P1029" s="6"/>
      <c r="Q1029" s="6"/>
      <c r="U1029" s="5"/>
      <c r="V1029" s="6"/>
      <c r="Y1029" s="6"/>
      <c r="Z1029" s="6"/>
      <c r="AD1029" s="5"/>
      <c r="AE1029" s="6"/>
      <c r="AH1029" s="6"/>
      <c r="AI1029" s="6"/>
      <c r="AM1029" s="5"/>
      <c r="AN1029" s="6"/>
      <c r="AQ1029" s="6"/>
      <c r="AR1029" s="6"/>
    </row>
    <row r="1030" spans="3:44" ht="13.2" x14ac:dyDescent="0.25">
      <c r="C1030" s="5"/>
      <c r="D1030" s="6"/>
      <c r="G1030" s="6"/>
      <c r="H1030" s="6"/>
      <c r="L1030" s="5"/>
      <c r="M1030" s="6"/>
      <c r="P1030" s="6"/>
      <c r="Q1030" s="6"/>
      <c r="U1030" s="5"/>
      <c r="V1030" s="6"/>
      <c r="Y1030" s="6"/>
      <c r="Z1030" s="6"/>
      <c r="AD1030" s="5"/>
      <c r="AE1030" s="6"/>
      <c r="AH1030" s="6"/>
      <c r="AI1030" s="6"/>
      <c r="AM1030" s="5"/>
      <c r="AN1030" s="6"/>
      <c r="AQ1030" s="6"/>
      <c r="AR1030" s="6"/>
    </row>
    <row r="1031" spans="3:44" ht="13.2" x14ac:dyDescent="0.25">
      <c r="C1031" s="5"/>
      <c r="D1031" s="6"/>
      <c r="G1031" s="6"/>
      <c r="H1031" s="6"/>
      <c r="L1031" s="5"/>
      <c r="M1031" s="6"/>
      <c r="P1031" s="6"/>
      <c r="Q1031" s="6"/>
      <c r="U1031" s="5"/>
      <c r="V1031" s="6"/>
      <c r="Y1031" s="6"/>
      <c r="Z1031" s="6"/>
      <c r="AD1031" s="5"/>
      <c r="AE1031" s="6"/>
      <c r="AH1031" s="6"/>
      <c r="AI1031" s="6"/>
      <c r="AM1031" s="5"/>
      <c r="AN1031" s="6"/>
      <c r="AQ1031" s="6"/>
      <c r="AR1031" s="6"/>
    </row>
    <row r="1032" spans="3:44" ht="13.2" x14ac:dyDescent="0.25">
      <c r="C1032" s="5"/>
      <c r="D1032" s="6"/>
      <c r="G1032" s="6"/>
      <c r="H1032" s="6"/>
      <c r="L1032" s="5"/>
      <c r="M1032" s="6"/>
      <c r="P1032" s="6"/>
      <c r="Q1032" s="6"/>
      <c r="U1032" s="5"/>
      <c r="V1032" s="6"/>
      <c r="Y1032" s="6"/>
      <c r="Z1032" s="6"/>
      <c r="AD1032" s="5"/>
      <c r="AE1032" s="6"/>
      <c r="AH1032" s="6"/>
      <c r="AI1032" s="6"/>
      <c r="AM1032" s="5"/>
      <c r="AN1032" s="6"/>
      <c r="AQ1032" s="6"/>
      <c r="AR1032" s="6"/>
    </row>
    <row r="1033" spans="3:44" ht="13.2" x14ac:dyDescent="0.25">
      <c r="C1033" s="5"/>
      <c r="D1033" s="6"/>
      <c r="G1033" s="6"/>
      <c r="H1033" s="6"/>
      <c r="L1033" s="5"/>
      <c r="M1033" s="6"/>
      <c r="P1033" s="6"/>
      <c r="Q1033" s="6"/>
      <c r="U1033" s="5"/>
      <c r="V1033" s="6"/>
      <c r="Y1033" s="6"/>
      <c r="Z1033" s="6"/>
      <c r="AD1033" s="5"/>
      <c r="AE1033" s="6"/>
      <c r="AH1033" s="6"/>
      <c r="AI1033" s="6"/>
      <c r="AM1033" s="5"/>
      <c r="AN1033" s="6"/>
      <c r="AQ1033" s="6"/>
      <c r="AR1033" s="6"/>
    </row>
    <row r="1034" spans="3:44" ht="13.2" x14ac:dyDescent="0.25">
      <c r="C1034" s="5"/>
      <c r="D1034" s="6"/>
      <c r="G1034" s="6"/>
      <c r="H1034" s="6"/>
      <c r="L1034" s="5"/>
      <c r="M1034" s="6"/>
      <c r="P1034" s="6"/>
      <c r="Q1034" s="6"/>
      <c r="U1034" s="5"/>
      <c r="V1034" s="6"/>
      <c r="Y1034" s="6"/>
      <c r="Z1034" s="6"/>
      <c r="AD1034" s="5"/>
      <c r="AE1034" s="6"/>
      <c r="AH1034" s="6"/>
      <c r="AI1034" s="6"/>
      <c r="AM1034" s="5"/>
      <c r="AN1034" s="6"/>
      <c r="AQ1034" s="6"/>
      <c r="AR1034" s="6"/>
    </row>
    <row r="1035" spans="3:44" ht="13.2" x14ac:dyDescent="0.25">
      <c r="C1035" s="5"/>
      <c r="D1035" s="6"/>
      <c r="G1035" s="6"/>
      <c r="H1035" s="6"/>
      <c r="L1035" s="5"/>
      <c r="M1035" s="6"/>
      <c r="P1035" s="6"/>
      <c r="Q1035" s="6"/>
      <c r="U1035" s="5"/>
      <c r="V1035" s="6"/>
      <c r="Y1035" s="6"/>
      <c r="Z1035" s="6"/>
      <c r="AD1035" s="5"/>
      <c r="AE1035" s="6"/>
      <c r="AH1035" s="6"/>
      <c r="AI1035" s="6"/>
      <c r="AM1035" s="5"/>
      <c r="AN1035" s="6"/>
      <c r="AQ1035" s="6"/>
      <c r="AR1035" s="6"/>
    </row>
    <row r="1036" spans="3:44" ht="13.2" x14ac:dyDescent="0.25">
      <c r="C1036" s="5"/>
      <c r="D1036" s="6"/>
      <c r="G1036" s="6"/>
      <c r="H1036" s="6"/>
      <c r="L1036" s="5"/>
      <c r="M1036" s="6"/>
      <c r="P1036" s="6"/>
      <c r="Q1036" s="6"/>
      <c r="U1036" s="5"/>
      <c r="V1036" s="6"/>
      <c r="Y1036" s="6"/>
      <c r="Z1036" s="6"/>
      <c r="AD1036" s="5"/>
      <c r="AE1036" s="6"/>
      <c r="AH1036" s="6"/>
      <c r="AI1036" s="6"/>
      <c r="AM1036" s="5"/>
      <c r="AN1036" s="6"/>
      <c r="AQ1036" s="6"/>
      <c r="AR1036" s="6"/>
    </row>
    <row r="1037" spans="3:44" ht="13.2" x14ac:dyDescent="0.25">
      <c r="C1037" s="5"/>
      <c r="D1037" s="6"/>
      <c r="G1037" s="6"/>
      <c r="H1037" s="6"/>
      <c r="L1037" s="5"/>
      <c r="M1037" s="6"/>
      <c r="P1037" s="6"/>
      <c r="Q1037" s="6"/>
      <c r="U1037" s="5"/>
      <c r="V1037" s="6"/>
      <c r="Y1037" s="6"/>
      <c r="Z1037" s="6"/>
      <c r="AD1037" s="5"/>
      <c r="AE1037" s="6"/>
      <c r="AH1037" s="6"/>
      <c r="AI1037" s="6"/>
      <c r="AM1037" s="5"/>
      <c r="AN1037" s="6"/>
      <c r="AQ1037" s="6"/>
      <c r="AR1037" s="6"/>
    </row>
    <row r="1038" spans="3:44" ht="13.2" x14ac:dyDescent="0.25">
      <c r="C1038" s="5"/>
      <c r="D1038" s="6"/>
      <c r="G1038" s="6"/>
      <c r="H1038" s="6"/>
      <c r="L1038" s="5"/>
      <c r="M1038" s="6"/>
      <c r="P1038" s="6"/>
      <c r="Q1038" s="6"/>
      <c r="U1038" s="5"/>
      <c r="V1038" s="6"/>
      <c r="Y1038" s="6"/>
      <c r="Z1038" s="6"/>
      <c r="AD1038" s="5"/>
      <c r="AE1038" s="6"/>
      <c r="AH1038" s="6"/>
      <c r="AI1038" s="6"/>
      <c r="AM1038" s="5"/>
      <c r="AN1038" s="6"/>
      <c r="AQ1038" s="6"/>
      <c r="AR1038" s="6"/>
    </row>
    <row r="1039" spans="3:44" ht="13.2" x14ac:dyDescent="0.25">
      <c r="C1039" s="5"/>
      <c r="D1039" s="6"/>
      <c r="G1039" s="6"/>
      <c r="H1039" s="6"/>
      <c r="L1039" s="5"/>
      <c r="M1039" s="6"/>
      <c r="P1039" s="6"/>
      <c r="Q1039" s="6"/>
      <c r="U1039" s="5"/>
      <c r="V1039" s="6"/>
      <c r="Y1039" s="6"/>
      <c r="Z1039" s="6"/>
      <c r="AD1039" s="5"/>
      <c r="AE1039" s="6"/>
      <c r="AH1039" s="6"/>
      <c r="AI1039" s="6"/>
      <c r="AM1039" s="5"/>
      <c r="AN1039" s="6"/>
      <c r="AQ1039" s="6"/>
      <c r="AR1039" s="6"/>
    </row>
    <row r="1040" spans="3:44" ht="13.2" x14ac:dyDescent="0.25">
      <c r="C1040" s="5"/>
      <c r="D1040" s="6"/>
      <c r="G1040" s="6"/>
      <c r="H1040" s="6"/>
      <c r="L1040" s="5"/>
      <c r="M1040" s="6"/>
      <c r="P1040" s="6"/>
      <c r="Q1040" s="6"/>
      <c r="U1040" s="5"/>
      <c r="V1040" s="6"/>
      <c r="Y1040" s="6"/>
      <c r="Z1040" s="6"/>
      <c r="AD1040" s="5"/>
      <c r="AE1040" s="6"/>
      <c r="AH1040" s="6"/>
      <c r="AI1040" s="6"/>
      <c r="AM1040" s="5"/>
      <c r="AN1040" s="6"/>
      <c r="AQ1040" s="6"/>
      <c r="AR1040" s="6"/>
    </row>
    <row r="1041" spans="3:44" ht="13.2" x14ac:dyDescent="0.25">
      <c r="C1041" s="5"/>
      <c r="D1041" s="6"/>
      <c r="G1041" s="6"/>
      <c r="H1041" s="6"/>
      <c r="L1041" s="5"/>
      <c r="M1041" s="6"/>
      <c r="P1041" s="6"/>
      <c r="Q1041" s="6"/>
      <c r="U1041" s="5"/>
      <c r="V1041" s="6"/>
      <c r="Y1041" s="6"/>
      <c r="Z1041" s="6"/>
      <c r="AD1041" s="5"/>
      <c r="AE1041" s="6"/>
      <c r="AH1041" s="6"/>
      <c r="AI1041" s="6"/>
      <c r="AM1041" s="5"/>
      <c r="AN1041" s="6"/>
      <c r="AQ1041" s="6"/>
      <c r="AR1041" s="6"/>
    </row>
    <row r="1042" spans="3:44" ht="13.2" x14ac:dyDescent="0.25">
      <c r="C1042" s="5"/>
      <c r="D1042" s="6"/>
      <c r="G1042" s="6"/>
      <c r="H1042" s="6"/>
      <c r="L1042" s="5"/>
      <c r="M1042" s="6"/>
      <c r="P1042" s="6"/>
      <c r="Q1042" s="6"/>
      <c r="U1042" s="5"/>
      <c r="V1042" s="6"/>
      <c r="Y1042" s="6"/>
      <c r="Z1042" s="6"/>
      <c r="AD1042" s="5"/>
      <c r="AE1042" s="6"/>
      <c r="AH1042" s="6"/>
      <c r="AI1042" s="6"/>
      <c r="AM1042" s="5"/>
      <c r="AN1042" s="6"/>
      <c r="AQ1042" s="6"/>
      <c r="AR1042" s="6"/>
    </row>
    <row r="1043" spans="3:44" ht="13.2" x14ac:dyDescent="0.25">
      <c r="C1043" s="5"/>
      <c r="D1043" s="6"/>
      <c r="G1043" s="6"/>
      <c r="H1043" s="6"/>
      <c r="L1043" s="5"/>
      <c r="M1043" s="6"/>
      <c r="P1043" s="6"/>
      <c r="Q1043" s="6"/>
      <c r="U1043" s="5"/>
      <c r="V1043" s="6"/>
      <c r="Y1043" s="6"/>
      <c r="Z1043" s="6"/>
      <c r="AD1043" s="5"/>
      <c r="AE1043" s="6"/>
      <c r="AH1043" s="6"/>
      <c r="AI1043" s="6"/>
      <c r="AM1043" s="5"/>
      <c r="AN1043" s="6"/>
      <c r="AQ1043" s="6"/>
      <c r="AR1043" s="6"/>
    </row>
    <row r="1044" spans="3:44" ht="13.2" x14ac:dyDescent="0.25">
      <c r="C1044" s="5"/>
      <c r="D1044" s="6"/>
      <c r="G1044" s="6"/>
      <c r="H1044" s="6"/>
      <c r="L1044" s="5"/>
      <c r="M1044" s="6"/>
      <c r="P1044" s="6"/>
      <c r="Q1044" s="6"/>
      <c r="U1044" s="5"/>
      <c r="V1044" s="6"/>
      <c r="Y1044" s="6"/>
      <c r="Z1044" s="6"/>
      <c r="AD1044" s="5"/>
      <c r="AE1044" s="6"/>
      <c r="AH1044" s="6"/>
      <c r="AI1044" s="6"/>
      <c r="AM1044" s="5"/>
      <c r="AN1044" s="6"/>
      <c r="AQ1044" s="6"/>
      <c r="AR1044" s="6"/>
    </row>
    <row r="1045" spans="3:44" ht="13.2" x14ac:dyDescent="0.25">
      <c r="C1045" s="5"/>
      <c r="D1045" s="6"/>
      <c r="G1045" s="6"/>
      <c r="H1045" s="6"/>
      <c r="L1045" s="5"/>
      <c r="M1045" s="6"/>
      <c r="P1045" s="6"/>
      <c r="Q1045" s="6"/>
      <c r="U1045" s="5"/>
      <c r="V1045" s="6"/>
      <c r="Y1045" s="6"/>
      <c r="Z1045" s="6"/>
      <c r="AD1045" s="5"/>
      <c r="AE1045" s="6"/>
      <c r="AH1045" s="6"/>
      <c r="AI1045" s="6"/>
      <c r="AM1045" s="5"/>
      <c r="AN1045" s="6"/>
      <c r="AQ1045" s="6"/>
      <c r="AR1045" s="6"/>
    </row>
    <row r="1046" spans="3:44" ht="13.2" x14ac:dyDescent="0.25">
      <c r="C1046" s="5"/>
      <c r="D1046" s="6"/>
      <c r="G1046" s="6"/>
      <c r="H1046" s="6"/>
      <c r="L1046" s="5"/>
      <c r="M1046" s="6"/>
      <c r="P1046" s="6"/>
      <c r="Q1046" s="6"/>
      <c r="U1046" s="5"/>
      <c r="V1046" s="6"/>
      <c r="Y1046" s="6"/>
      <c r="Z1046" s="6"/>
      <c r="AD1046" s="5"/>
      <c r="AE1046" s="6"/>
      <c r="AH1046" s="6"/>
      <c r="AI1046" s="6"/>
      <c r="AM1046" s="5"/>
      <c r="AN1046" s="6"/>
      <c r="AQ1046" s="6"/>
      <c r="AR1046" s="6"/>
    </row>
    <row r="1047" spans="3:44" ht="13.2" x14ac:dyDescent="0.25">
      <c r="C1047" s="5"/>
      <c r="D1047" s="6"/>
      <c r="G1047" s="6"/>
      <c r="H1047" s="6"/>
      <c r="L1047" s="5"/>
      <c r="M1047" s="6"/>
      <c r="P1047" s="6"/>
      <c r="Q1047" s="6"/>
      <c r="U1047" s="5"/>
      <c r="V1047" s="6"/>
      <c r="Y1047" s="6"/>
      <c r="Z1047" s="6"/>
      <c r="AD1047" s="5"/>
      <c r="AE1047" s="6"/>
      <c r="AH1047" s="6"/>
      <c r="AI1047" s="6"/>
      <c r="AM1047" s="5"/>
      <c r="AN1047" s="6"/>
      <c r="AQ1047" s="6"/>
      <c r="AR1047" s="6"/>
    </row>
    <row r="1048" spans="3:44" ht="13.2" x14ac:dyDescent="0.25">
      <c r="C1048" s="5"/>
      <c r="D1048" s="6"/>
      <c r="G1048" s="6"/>
      <c r="H1048" s="6"/>
      <c r="L1048" s="5"/>
      <c r="M1048" s="6"/>
      <c r="P1048" s="6"/>
      <c r="Q1048" s="6"/>
      <c r="U1048" s="5"/>
      <c r="V1048" s="6"/>
      <c r="Y1048" s="6"/>
      <c r="Z1048" s="6"/>
      <c r="AD1048" s="5"/>
      <c r="AE1048" s="6"/>
      <c r="AH1048" s="6"/>
      <c r="AI1048" s="6"/>
      <c r="AM1048" s="5"/>
      <c r="AN1048" s="6"/>
      <c r="AQ1048" s="6"/>
      <c r="AR1048" s="6"/>
    </row>
    <row r="1049" spans="3:44" ht="13.2" x14ac:dyDescent="0.25">
      <c r="C1049" s="5"/>
      <c r="D1049" s="6"/>
      <c r="G1049" s="6"/>
      <c r="H1049" s="6"/>
      <c r="L1049" s="5"/>
      <c r="M1049" s="6"/>
      <c r="P1049" s="6"/>
      <c r="Q1049" s="6"/>
      <c r="U1049" s="5"/>
      <c r="V1049" s="6"/>
      <c r="Y1049" s="6"/>
      <c r="Z1049" s="6"/>
      <c r="AD1049" s="5"/>
      <c r="AE1049" s="6"/>
      <c r="AH1049" s="6"/>
      <c r="AI1049" s="6"/>
      <c r="AM1049" s="5"/>
      <c r="AN1049" s="6"/>
      <c r="AQ1049" s="6"/>
      <c r="AR1049" s="6"/>
    </row>
    <row r="1050" spans="3:44" ht="13.2" x14ac:dyDescent="0.25">
      <c r="C1050" s="5"/>
      <c r="D1050" s="6"/>
      <c r="G1050" s="6"/>
      <c r="H1050" s="6"/>
      <c r="L1050" s="5"/>
      <c r="M1050" s="6"/>
      <c r="P1050" s="6"/>
      <c r="Q1050" s="6"/>
      <c r="U1050" s="5"/>
      <c r="V1050" s="6"/>
      <c r="Y1050" s="6"/>
      <c r="Z1050" s="6"/>
      <c r="AD1050" s="5"/>
      <c r="AE1050" s="6"/>
      <c r="AH1050" s="6"/>
      <c r="AI1050" s="6"/>
      <c r="AM1050" s="5"/>
      <c r="AN1050" s="6"/>
      <c r="AQ1050" s="6"/>
      <c r="AR1050" s="6"/>
    </row>
    <row r="1051" spans="3:44" ht="13.2" x14ac:dyDescent="0.25">
      <c r="C1051" s="5"/>
      <c r="D1051" s="6"/>
      <c r="G1051" s="6"/>
      <c r="H1051" s="6"/>
      <c r="L1051" s="5"/>
      <c r="M1051" s="6"/>
      <c r="P1051" s="6"/>
      <c r="Q1051" s="6"/>
      <c r="U1051" s="5"/>
      <c r="V1051" s="6"/>
      <c r="Y1051" s="6"/>
      <c r="Z1051" s="6"/>
      <c r="AD1051" s="5"/>
      <c r="AE1051" s="6"/>
      <c r="AH1051" s="6"/>
      <c r="AI1051" s="6"/>
      <c r="AM1051" s="5"/>
      <c r="AN1051" s="6"/>
      <c r="AQ1051" s="6"/>
      <c r="AR1051" s="6"/>
    </row>
    <row r="1052" spans="3:44" ht="13.2" x14ac:dyDescent="0.25">
      <c r="C1052" s="5"/>
      <c r="D1052" s="6"/>
      <c r="G1052" s="6"/>
      <c r="H1052" s="6"/>
      <c r="L1052" s="5"/>
      <c r="M1052" s="6"/>
      <c r="P1052" s="6"/>
      <c r="Q1052" s="6"/>
      <c r="U1052" s="5"/>
      <c r="V1052" s="6"/>
      <c r="Y1052" s="6"/>
      <c r="Z1052" s="6"/>
      <c r="AD1052" s="5"/>
      <c r="AE1052" s="6"/>
      <c r="AH1052" s="6"/>
      <c r="AI1052" s="6"/>
      <c r="AM1052" s="5"/>
      <c r="AN1052" s="6"/>
      <c r="AQ1052" s="6"/>
      <c r="AR1052" s="6"/>
    </row>
    <row r="1053" spans="3:44" ht="13.2" x14ac:dyDescent="0.25">
      <c r="C1053" s="5"/>
      <c r="D1053" s="6"/>
      <c r="G1053" s="6"/>
      <c r="H1053" s="6"/>
      <c r="L1053" s="5"/>
      <c r="M1053" s="6"/>
      <c r="P1053" s="6"/>
      <c r="Q1053" s="6"/>
      <c r="U1053" s="5"/>
      <c r="V1053" s="6"/>
      <c r="Y1053" s="6"/>
      <c r="Z1053" s="6"/>
      <c r="AD1053" s="5"/>
      <c r="AE1053" s="6"/>
      <c r="AH1053" s="6"/>
      <c r="AI1053" s="6"/>
      <c r="AM1053" s="5"/>
      <c r="AN1053" s="6"/>
      <c r="AQ1053" s="6"/>
      <c r="AR1053" s="6"/>
    </row>
    <row r="1054" spans="3:44" ht="13.2" x14ac:dyDescent="0.25">
      <c r="C1054" s="5"/>
      <c r="D1054" s="6"/>
      <c r="G1054" s="6"/>
      <c r="H1054" s="6"/>
      <c r="L1054" s="5"/>
      <c r="M1054" s="6"/>
      <c r="P1054" s="6"/>
      <c r="Q1054" s="6"/>
      <c r="U1054" s="5"/>
      <c r="V1054" s="6"/>
      <c r="Y1054" s="6"/>
      <c r="Z1054" s="6"/>
      <c r="AD1054" s="5"/>
      <c r="AE1054" s="6"/>
      <c r="AH1054" s="6"/>
      <c r="AI1054" s="6"/>
      <c r="AM1054" s="5"/>
      <c r="AN1054" s="6"/>
      <c r="AQ1054" s="6"/>
      <c r="AR1054" s="6"/>
    </row>
    <row r="1055" spans="3:44" ht="13.2" x14ac:dyDescent="0.25">
      <c r="C1055" s="5"/>
      <c r="D1055" s="6"/>
      <c r="G1055" s="6"/>
      <c r="H1055" s="6"/>
      <c r="L1055" s="5"/>
      <c r="M1055" s="6"/>
      <c r="P1055" s="6"/>
      <c r="Q1055" s="6"/>
      <c r="U1055" s="5"/>
      <c r="V1055" s="6"/>
      <c r="Y1055" s="6"/>
      <c r="Z1055" s="6"/>
      <c r="AD1055" s="5"/>
      <c r="AE1055" s="6"/>
      <c r="AH1055" s="6"/>
      <c r="AI1055" s="6"/>
      <c r="AM1055" s="5"/>
      <c r="AN1055" s="6"/>
      <c r="AQ1055" s="6"/>
      <c r="AR1055" s="6"/>
    </row>
    <row r="1056" spans="3:44" ht="13.2" x14ac:dyDescent="0.25">
      <c r="C1056" s="5"/>
      <c r="D1056" s="6"/>
      <c r="G1056" s="6"/>
      <c r="H1056" s="6"/>
      <c r="L1056" s="5"/>
      <c r="M1056" s="6"/>
      <c r="P1056" s="6"/>
      <c r="Q1056" s="6"/>
      <c r="U1056" s="5"/>
      <c r="V1056" s="6"/>
      <c r="Y1056" s="6"/>
      <c r="Z1056" s="6"/>
      <c r="AD1056" s="5"/>
      <c r="AE1056" s="6"/>
      <c r="AH1056" s="6"/>
      <c r="AI1056" s="6"/>
      <c r="AM1056" s="5"/>
      <c r="AN1056" s="6"/>
      <c r="AQ1056" s="6"/>
      <c r="AR1056" s="6"/>
    </row>
    <row r="1057" spans="3:44" ht="13.2" x14ac:dyDescent="0.25">
      <c r="C1057" s="5"/>
      <c r="D1057" s="6"/>
      <c r="G1057" s="6"/>
      <c r="H1057" s="6"/>
      <c r="L1057" s="5"/>
      <c r="M1057" s="6"/>
      <c r="P1057" s="6"/>
      <c r="Q1057" s="6"/>
      <c r="U1057" s="5"/>
      <c r="V1057" s="6"/>
      <c r="Y1057" s="6"/>
      <c r="Z1057" s="6"/>
      <c r="AD1057" s="5"/>
      <c r="AE1057" s="6"/>
      <c r="AH1057" s="6"/>
      <c r="AI1057" s="6"/>
      <c r="AM1057" s="5"/>
      <c r="AN1057" s="6"/>
      <c r="AQ1057" s="6"/>
      <c r="AR1057" s="6"/>
    </row>
    <row r="1058" spans="3:44" ht="13.2" x14ac:dyDescent="0.25">
      <c r="C1058" s="5"/>
      <c r="D1058" s="6"/>
      <c r="G1058" s="6"/>
      <c r="H1058" s="6"/>
      <c r="L1058" s="5"/>
      <c r="M1058" s="6"/>
      <c r="P1058" s="6"/>
      <c r="Q1058" s="6"/>
      <c r="U1058" s="5"/>
      <c r="V1058" s="6"/>
      <c r="Y1058" s="6"/>
      <c r="Z1058" s="6"/>
      <c r="AD1058" s="5"/>
      <c r="AE1058" s="6"/>
      <c r="AH1058" s="6"/>
      <c r="AI1058" s="6"/>
      <c r="AM1058" s="5"/>
      <c r="AN1058" s="6"/>
      <c r="AQ1058" s="6"/>
      <c r="AR1058" s="6"/>
    </row>
    <row r="1059" spans="3:44" ht="13.2" x14ac:dyDescent="0.25">
      <c r="C1059" s="5"/>
      <c r="D1059" s="6"/>
      <c r="G1059" s="6"/>
      <c r="H1059" s="6"/>
      <c r="L1059" s="5"/>
      <c r="M1059" s="6"/>
      <c r="P1059" s="6"/>
      <c r="Q1059" s="6"/>
      <c r="U1059" s="5"/>
      <c r="V1059" s="6"/>
      <c r="Y1059" s="6"/>
      <c r="Z1059" s="6"/>
      <c r="AD1059" s="5"/>
      <c r="AE1059" s="6"/>
      <c r="AH1059" s="6"/>
      <c r="AI1059" s="6"/>
      <c r="AM1059" s="5"/>
      <c r="AN1059" s="6"/>
      <c r="AQ1059" s="6"/>
      <c r="AR1059" s="6"/>
    </row>
  </sheetData>
  <mergeCells count="600">
    <mergeCell ref="S103:T103"/>
    <mergeCell ref="W103:X103"/>
    <mergeCell ref="AF103:AG103"/>
    <mergeCell ref="AO103:AP103"/>
    <mergeCell ref="W104:X104"/>
    <mergeCell ref="AF104:AG104"/>
    <mergeCell ref="AO104:AP104"/>
    <mergeCell ref="AO105:AP105"/>
    <mergeCell ref="AK106:AL106"/>
    <mergeCell ref="AO106:AP106"/>
    <mergeCell ref="AK107:AL107"/>
    <mergeCell ref="AO107:AP107"/>
    <mergeCell ref="S104:T104"/>
    <mergeCell ref="S105:T105"/>
    <mergeCell ref="W105:X105"/>
    <mergeCell ref="S106:T106"/>
    <mergeCell ref="W106:X106"/>
    <mergeCell ref="S107:T107"/>
    <mergeCell ref="W107:X107"/>
    <mergeCell ref="AB103:AC103"/>
    <mergeCell ref="AB104:AC104"/>
    <mergeCell ref="AB105:AC105"/>
    <mergeCell ref="AF105:AG105"/>
    <mergeCell ref="AB106:AC106"/>
    <mergeCell ref="AF106:AG106"/>
    <mergeCell ref="AB107:AC107"/>
    <mergeCell ref="AF107:AG107"/>
    <mergeCell ref="AK103:AL103"/>
    <mergeCell ref="AK104:AL104"/>
    <mergeCell ref="AK105:AL105"/>
    <mergeCell ref="AE101:AE102"/>
    <mergeCell ref="AF101:AG101"/>
    <mergeCell ref="AI101:AI102"/>
    <mergeCell ref="AK101:AL101"/>
    <mergeCell ref="AN101:AN102"/>
    <mergeCell ref="AO101:AP101"/>
    <mergeCell ref="AR101:AR102"/>
    <mergeCell ref="N99:O99"/>
    <mergeCell ref="Q101:Q102"/>
    <mergeCell ref="S101:T101"/>
    <mergeCell ref="V101:V102"/>
    <mergeCell ref="W101:X101"/>
    <mergeCell ref="Z101:Z102"/>
    <mergeCell ref="AB101:AC101"/>
    <mergeCell ref="J97:K97"/>
    <mergeCell ref="J99:K99"/>
    <mergeCell ref="S99:T99"/>
    <mergeCell ref="W99:X99"/>
    <mergeCell ref="AB99:AC99"/>
    <mergeCell ref="AF99:AG99"/>
    <mergeCell ref="AK99:AL99"/>
    <mergeCell ref="AO99:AP99"/>
    <mergeCell ref="N90:O90"/>
    <mergeCell ref="N92:O92"/>
    <mergeCell ref="J94:K94"/>
    <mergeCell ref="N94:O94"/>
    <mergeCell ref="J96:K96"/>
    <mergeCell ref="N96:O96"/>
    <mergeCell ref="N97:O97"/>
    <mergeCell ref="AB94:AC94"/>
    <mergeCell ref="AB96:AC96"/>
    <mergeCell ref="AB97:AC97"/>
    <mergeCell ref="AF97:AG97"/>
    <mergeCell ref="AK94:AL94"/>
    <mergeCell ref="AK96:AL96"/>
    <mergeCell ref="AK97:AL97"/>
    <mergeCell ref="AO97:AP97"/>
    <mergeCell ref="S96:T96"/>
    <mergeCell ref="S97:T97"/>
    <mergeCell ref="W97:X97"/>
    <mergeCell ref="S94:T94"/>
    <mergeCell ref="W94:X94"/>
    <mergeCell ref="AF94:AG94"/>
    <mergeCell ref="AO94:AP94"/>
    <mergeCell ref="W96:X96"/>
    <mergeCell ref="AF96:AG96"/>
    <mergeCell ref="AO96:AP96"/>
    <mergeCell ref="AK92:AL92"/>
    <mergeCell ref="AO92:AP92"/>
    <mergeCell ref="J88:K88"/>
    <mergeCell ref="J90:K90"/>
    <mergeCell ref="J92:K92"/>
    <mergeCell ref="S92:T92"/>
    <mergeCell ref="W92:X92"/>
    <mergeCell ref="AB92:AC92"/>
    <mergeCell ref="AF92:AG92"/>
    <mergeCell ref="AO88:AP88"/>
    <mergeCell ref="S90:T90"/>
    <mergeCell ref="W90:X90"/>
    <mergeCell ref="AF90:AG90"/>
    <mergeCell ref="AO90:AP90"/>
    <mergeCell ref="N81:O81"/>
    <mergeCell ref="N82:O82"/>
    <mergeCell ref="J83:K83"/>
    <mergeCell ref="N83:O83"/>
    <mergeCell ref="J84:J85"/>
    <mergeCell ref="N84:N85"/>
    <mergeCell ref="N88:O88"/>
    <mergeCell ref="J80:K80"/>
    <mergeCell ref="N80:O80"/>
    <mergeCell ref="J81:K81"/>
    <mergeCell ref="J82:K82"/>
    <mergeCell ref="AB88:AC88"/>
    <mergeCell ref="AB90:AC90"/>
    <mergeCell ref="AK88:AL88"/>
    <mergeCell ref="AK90:AL90"/>
    <mergeCell ref="S88:T88"/>
    <mergeCell ref="W88:X88"/>
    <mergeCell ref="AF88:AG88"/>
    <mergeCell ref="J74:K74"/>
    <mergeCell ref="N74:O74"/>
    <mergeCell ref="J75:K75"/>
    <mergeCell ref="N75:O75"/>
    <mergeCell ref="J76:K76"/>
    <mergeCell ref="N76:O76"/>
    <mergeCell ref="N77:O77"/>
    <mergeCell ref="J77:K77"/>
    <mergeCell ref="J78:J79"/>
    <mergeCell ref="N78:N79"/>
    <mergeCell ref="J42:K42"/>
    <mergeCell ref="M42:M43"/>
    <mergeCell ref="Q42:Q43"/>
    <mergeCell ref="J47:K47"/>
    <mergeCell ref="J48:K48"/>
    <mergeCell ref="N48:O48"/>
    <mergeCell ref="J44:K44"/>
    <mergeCell ref="N44:O44"/>
    <mergeCell ref="J46:K46"/>
    <mergeCell ref="N46:O46"/>
    <mergeCell ref="N47:O47"/>
    <mergeCell ref="J45:K45"/>
    <mergeCell ref="N45:O45"/>
    <mergeCell ref="S45:T45"/>
    <mergeCell ref="W45:X45"/>
    <mergeCell ref="AB45:AC45"/>
    <mergeCell ref="N72:O72"/>
    <mergeCell ref="N73:O73"/>
    <mergeCell ref="L65:M65"/>
    <mergeCell ref="L66:M66"/>
    <mergeCell ref="L67:M67"/>
    <mergeCell ref="J70:L70"/>
    <mergeCell ref="N70:P70"/>
    <mergeCell ref="J72:K72"/>
    <mergeCell ref="J73:K73"/>
    <mergeCell ref="W46:X46"/>
    <mergeCell ref="W47:X47"/>
    <mergeCell ref="AB70:AD70"/>
    <mergeCell ref="S46:T46"/>
    <mergeCell ref="S47:T47"/>
    <mergeCell ref="S48:T48"/>
    <mergeCell ref="W48:X48"/>
    <mergeCell ref="U62:W62"/>
    <mergeCell ref="AD62:AF62"/>
    <mergeCell ref="AD63:AE63"/>
    <mergeCell ref="J38:K38"/>
    <mergeCell ref="S38:T38"/>
    <mergeCell ref="AF42:AG42"/>
    <mergeCell ref="AI42:AI43"/>
    <mergeCell ref="AK42:AL42"/>
    <mergeCell ref="AN42:AN43"/>
    <mergeCell ref="AO42:AP42"/>
    <mergeCell ref="AR42:AR43"/>
    <mergeCell ref="S44:T44"/>
    <mergeCell ref="W44:X44"/>
    <mergeCell ref="AB44:AC44"/>
    <mergeCell ref="AF44:AG44"/>
    <mergeCell ref="AK44:AL44"/>
    <mergeCell ref="AO44:AP44"/>
    <mergeCell ref="N42:O42"/>
    <mergeCell ref="S42:T42"/>
    <mergeCell ref="V42:V43"/>
    <mergeCell ref="W42:X42"/>
    <mergeCell ref="Z42:Z43"/>
    <mergeCell ref="AB42:AC42"/>
    <mergeCell ref="AE42:AE43"/>
    <mergeCell ref="N38:O38"/>
    <mergeCell ref="J40:K40"/>
    <mergeCell ref="N40:O40"/>
    <mergeCell ref="W38:X38"/>
    <mergeCell ref="S40:T40"/>
    <mergeCell ref="W40:X40"/>
    <mergeCell ref="AB40:AC40"/>
    <mergeCell ref="AF40:AG40"/>
    <mergeCell ref="AK40:AL40"/>
    <mergeCell ref="AO40:AP40"/>
    <mergeCell ref="AB38:AC38"/>
    <mergeCell ref="AF38:AG38"/>
    <mergeCell ref="AK38:AL38"/>
    <mergeCell ref="AO38:AP38"/>
    <mergeCell ref="AK75:AL75"/>
    <mergeCell ref="AK76:AL76"/>
    <mergeCell ref="AO76:AP76"/>
    <mergeCell ref="AK77:AL77"/>
    <mergeCell ref="AO77:AP77"/>
    <mergeCell ref="AF73:AG73"/>
    <mergeCell ref="AK73:AL73"/>
    <mergeCell ref="AO73:AP73"/>
    <mergeCell ref="AF74:AG74"/>
    <mergeCell ref="AK74:AL74"/>
    <mergeCell ref="AO74:AP74"/>
    <mergeCell ref="AO75:AP75"/>
    <mergeCell ref="AK48:AL48"/>
    <mergeCell ref="AO48:AP48"/>
    <mergeCell ref="AM62:AO62"/>
    <mergeCell ref="AM63:AN63"/>
    <mergeCell ref="AM64:AN64"/>
    <mergeCell ref="AK72:AL72"/>
    <mergeCell ref="AO72:AP72"/>
    <mergeCell ref="AM65:AN65"/>
    <mergeCell ref="AM66:AN66"/>
    <mergeCell ref="AM67:AN67"/>
    <mergeCell ref="AK70:AM70"/>
    <mergeCell ref="AO70:AQ70"/>
    <mergeCell ref="AF45:AG45"/>
    <mergeCell ref="AK45:AL45"/>
    <mergeCell ref="AO45:AP45"/>
    <mergeCell ref="AB46:AC46"/>
    <mergeCell ref="AK46:AL46"/>
    <mergeCell ref="AB47:AC47"/>
    <mergeCell ref="AK47:AL47"/>
    <mergeCell ref="AO46:AP46"/>
    <mergeCell ref="AO47:AP47"/>
    <mergeCell ref="E84:E85"/>
    <mergeCell ref="E88:F88"/>
    <mergeCell ref="E90:F90"/>
    <mergeCell ref="E92:F92"/>
    <mergeCell ref="J106:K106"/>
    <mergeCell ref="N106:O106"/>
    <mergeCell ref="AF46:AG46"/>
    <mergeCell ref="AF47:AG47"/>
    <mergeCell ref="AB48:AC48"/>
    <mergeCell ref="AF48:AG48"/>
    <mergeCell ref="AF70:AH70"/>
    <mergeCell ref="AF72:AG72"/>
    <mergeCell ref="AD64:AE64"/>
    <mergeCell ref="AD65:AE65"/>
    <mergeCell ref="AD66:AE66"/>
    <mergeCell ref="AD67:AE67"/>
    <mergeCell ref="U63:V63"/>
    <mergeCell ref="U64:V64"/>
    <mergeCell ref="U65:V65"/>
    <mergeCell ref="U66:V66"/>
    <mergeCell ref="U67:V67"/>
    <mergeCell ref="S70:U70"/>
    <mergeCell ref="W70:Y70"/>
    <mergeCell ref="AB73:AC73"/>
    <mergeCell ref="E74:F74"/>
    <mergeCell ref="E75:F75"/>
    <mergeCell ref="E76:F76"/>
    <mergeCell ref="E77:F77"/>
    <mergeCell ref="E78:E79"/>
    <mergeCell ref="E80:F80"/>
    <mergeCell ref="E81:F81"/>
    <mergeCell ref="E82:F82"/>
    <mergeCell ref="E83:F83"/>
    <mergeCell ref="L64:M64"/>
    <mergeCell ref="C64:D64"/>
    <mergeCell ref="C65:D65"/>
    <mergeCell ref="C66:D66"/>
    <mergeCell ref="C67:D67"/>
    <mergeCell ref="A70:C70"/>
    <mergeCell ref="E70:G70"/>
    <mergeCell ref="E72:F72"/>
    <mergeCell ref="E73:F73"/>
    <mergeCell ref="A46:B46"/>
    <mergeCell ref="E46:F46"/>
    <mergeCell ref="A47:B47"/>
    <mergeCell ref="A48:B48"/>
    <mergeCell ref="E47:F47"/>
    <mergeCell ref="E48:F48"/>
    <mergeCell ref="C62:E62"/>
    <mergeCell ref="L62:N62"/>
    <mergeCell ref="C63:D63"/>
    <mergeCell ref="L63:M63"/>
    <mergeCell ref="E38:F38"/>
    <mergeCell ref="A40:B40"/>
    <mergeCell ref="E40:F40"/>
    <mergeCell ref="D42:D43"/>
    <mergeCell ref="E42:F42"/>
    <mergeCell ref="H42:H43"/>
    <mergeCell ref="A42:B42"/>
    <mergeCell ref="A44:B44"/>
    <mergeCell ref="A45:B45"/>
    <mergeCell ref="A38:B38"/>
    <mergeCell ref="E44:F44"/>
    <mergeCell ref="E45:F45"/>
    <mergeCell ref="D101:D102"/>
    <mergeCell ref="E101:F101"/>
    <mergeCell ref="H101:H102"/>
    <mergeCell ref="N104:O104"/>
    <mergeCell ref="N105:O105"/>
    <mergeCell ref="J107:K107"/>
    <mergeCell ref="N107:O107"/>
    <mergeCell ref="J101:K101"/>
    <mergeCell ref="M101:M102"/>
    <mergeCell ref="N101:O101"/>
    <mergeCell ref="J103:K103"/>
    <mergeCell ref="N103:O103"/>
    <mergeCell ref="J104:K104"/>
    <mergeCell ref="J105:K105"/>
    <mergeCell ref="E103:F103"/>
    <mergeCell ref="E104:F104"/>
    <mergeCell ref="E105:F105"/>
    <mergeCell ref="E106:F106"/>
    <mergeCell ref="E107:F107"/>
    <mergeCell ref="E94:F94"/>
    <mergeCell ref="E96:F96"/>
    <mergeCell ref="E97:F97"/>
    <mergeCell ref="E99:F99"/>
    <mergeCell ref="A82:B82"/>
    <mergeCell ref="A83:B83"/>
    <mergeCell ref="A84:A85"/>
    <mergeCell ref="A88:B88"/>
    <mergeCell ref="A90:B90"/>
    <mergeCell ref="A104:B104"/>
    <mergeCell ref="A105:B105"/>
    <mergeCell ref="A106:B106"/>
    <mergeCell ref="A107:B107"/>
    <mergeCell ref="A92:B92"/>
    <mergeCell ref="A94:B94"/>
    <mergeCell ref="A96:B96"/>
    <mergeCell ref="A97:B97"/>
    <mergeCell ref="A99:B99"/>
    <mergeCell ref="A101:B101"/>
    <mergeCell ref="A103:B103"/>
    <mergeCell ref="A72:B72"/>
    <mergeCell ref="A73:B73"/>
    <mergeCell ref="A74:B74"/>
    <mergeCell ref="A75:B75"/>
    <mergeCell ref="A76:B76"/>
    <mergeCell ref="A77:B77"/>
    <mergeCell ref="A78:A79"/>
    <mergeCell ref="A80:B80"/>
    <mergeCell ref="A81:B81"/>
    <mergeCell ref="S80:T80"/>
    <mergeCell ref="S81:T81"/>
    <mergeCell ref="S82:T82"/>
    <mergeCell ref="S83:T83"/>
    <mergeCell ref="S84:S85"/>
    <mergeCell ref="S77:T77"/>
    <mergeCell ref="S78:S79"/>
    <mergeCell ref="AF78:AF79"/>
    <mergeCell ref="AO78:AO79"/>
    <mergeCell ref="W80:X80"/>
    <mergeCell ref="AF80:AG80"/>
    <mergeCell ref="AO80:AP80"/>
    <mergeCell ref="AK83:AL83"/>
    <mergeCell ref="AK84:AK85"/>
    <mergeCell ref="AO84:AO85"/>
    <mergeCell ref="AK78:AK79"/>
    <mergeCell ref="AK80:AL80"/>
    <mergeCell ref="AK81:AL81"/>
    <mergeCell ref="AO81:AP81"/>
    <mergeCell ref="AK82:AL82"/>
    <mergeCell ref="AO82:AP82"/>
    <mergeCell ref="AO83:AP83"/>
    <mergeCell ref="S72:T72"/>
    <mergeCell ref="W72:X72"/>
    <mergeCell ref="AB72:AC72"/>
    <mergeCell ref="S73:T73"/>
    <mergeCell ref="W73:X73"/>
    <mergeCell ref="S74:T74"/>
    <mergeCell ref="S75:T75"/>
    <mergeCell ref="S76:T76"/>
    <mergeCell ref="W76:X76"/>
    <mergeCell ref="AB76:AC76"/>
    <mergeCell ref="AB74:AC74"/>
    <mergeCell ref="W74:X74"/>
    <mergeCell ref="W75:X75"/>
    <mergeCell ref="W78:W79"/>
    <mergeCell ref="W81:X81"/>
    <mergeCell ref="W82:X82"/>
    <mergeCell ref="W83:X83"/>
    <mergeCell ref="W84:W85"/>
    <mergeCell ref="AB75:AC75"/>
    <mergeCell ref="AF75:AG75"/>
    <mergeCell ref="AF76:AG76"/>
    <mergeCell ref="W77:X77"/>
    <mergeCell ref="AB77:AC77"/>
    <mergeCell ref="AF77:AG77"/>
    <mergeCell ref="AB83:AC83"/>
    <mergeCell ref="AB84:AB85"/>
    <mergeCell ref="AF84:AF85"/>
    <mergeCell ref="AB78:AB79"/>
    <mergeCell ref="AB80:AC80"/>
    <mergeCell ref="AB81:AC81"/>
    <mergeCell ref="AF81:AG81"/>
    <mergeCell ref="AB82:AC82"/>
    <mergeCell ref="AF82:AG82"/>
    <mergeCell ref="AF83:AG83"/>
    <mergeCell ref="AO33:AP33"/>
    <mergeCell ref="A33:B33"/>
    <mergeCell ref="E33:F33"/>
    <mergeCell ref="J33:K33"/>
    <mergeCell ref="N33:O33"/>
    <mergeCell ref="S33:T33"/>
    <mergeCell ref="W33:X33"/>
    <mergeCell ref="AB33:AC33"/>
    <mergeCell ref="AF37:AG37"/>
    <mergeCell ref="AK37:AL37"/>
    <mergeCell ref="AO37:AP37"/>
    <mergeCell ref="E37:F37"/>
    <mergeCell ref="W37:X37"/>
    <mergeCell ref="A37:B37"/>
    <mergeCell ref="J37:K37"/>
    <mergeCell ref="S37:T37"/>
    <mergeCell ref="AB37:AC37"/>
    <mergeCell ref="N37:O37"/>
    <mergeCell ref="A31:B31"/>
    <mergeCell ref="E31:F31"/>
    <mergeCell ref="J31:K31"/>
    <mergeCell ref="N31:O31"/>
    <mergeCell ref="S31:T31"/>
    <mergeCell ref="W31:X31"/>
    <mergeCell ref="AB31:AC31"/>
    <mergeCell ref="AF33:AG33"/>
    <mergeCell ref="AK33:AL33"/>
    <mergeCell ref="A25:A26"/>
    <mergeCell ref="AF35:AG35"/>
    <mergeCell ref="AK35:AL35"/>
    <mergeCell ref="AO35:AP35"/>
    <mergeCell ref="A35:B35"/>
    <mergeCell ref="E35:F35"/>
    <mergeCell ref="J35:K35"/>
    <mergeCell ref="N35:O35"/>
    <mergeCell ref="S35:T35"/>
    <mergeCell ref="W35:X35"/>
    <mergeCell ref="AB35:AC35"/>
    <mergeCell ref="AF29:AG29"/>
    <mergeCell ref="AK29:AL29"/>
    <mergeCell ref="AO29:AP29"/>
    <mergeCell ref="A29:B29"/>
    <mergeCell ref="E29:F29"/>
    <mergeCell ref="J29:K29"/>
    <mergeCell ref="N29:O29"/>
    <mergeCell ref="S29:T29"/>
    <mergeCell ref="W29:X29"/>
    <mergeCell ref="AB29:AC29"/>
    <mergeCell ref="AF31:AG31"/>
    <mergeCell ref="AK31:AL31"/>
    <mergeCell ref="AO31:AP31"/>
    <mergeCell ref="E25:E26"/>
    <mergeCell ref="J25:J26"/>
    <mergeCell ref="N25:N26"/>
    <mergeCell ref="S25:S26"/>
    <mergeCell ref="W25:W26"/>
    <mergeCell ref="AB25:AB26"/>
    <mergeCell ref="AF25:AF26"/>
    <mergeCell ref="AK25:AK26"/>
    <mergeCell ref="AO25:AO26"/>
    <mergeCell ref="AB22:AC22"/>
    <mergeCell ref="AF22:AG22"/>
    <mergeCell ref="AK22:AL22"/>
    <mergeCell ref="AO22:AP22"/>
    <mergeCell ref="AF23:AG23"/>
    <mergeCell ref="AK23:AL23"/>
    <mergeCell ref="AO23:AP23"/>
    <mergeCell ref="AB24:AC24"/>
    <mergeCell ref="AF24:AG24"/>
    <mergeCell ref="AK24:AL24"/>
    <mergeCell ref="AO24:AP24"/>
    <mergeCell ref="AB23:AC23"/>
    <mergeCell ref="E22:F22"/>
    <mergeCell ref="A24:B24"/>
    <mergeCell ref="E24:F24"/>
    <mergeCell ref="J24:K24"/>
    <mergeCell ref="N24:O24"/>
    <mergeCell ref="S24:T24"/>
    <mergeCell ref="W24:X24"/>
    <mergeCell ref="N21:O21"/>
    <mergeCell ref="N22:O22"/>
    <mergeCell ref="S22:T22"/>
    <mergeCell ref="W22:X22"/>
    <mergeCell ref="A23:B23"/>
    <mergeCell ref="E23:F23"/>
    <mergeCell ref="J23:K23"/>
    <mergeCell ref="N23:O23"/>
    <mergeCell ref="S23:T23"/>
    <mergeCell ref="W23:X23"/>
    <mergeCell ref="A21:B21"/>
    <mergeCell ref="J21:K21"/>
    <mergeCell ref="A22:B22"/>
    <mergeCell ref="J22:K22"/>
    <mergeCell ref="A16:B16"/>
    <mergeCell ref="E16:F16"/>
    <mergeCell ref="A17:B17"/>
    <mergeCell ref="E17:F17"/>
    <mergeCell ref="E18:F18"/>
    <mergeCell ref="AK19:AK20"/>
    <mergeCell ref="AO19:AO20"/>
    <mergeCell ref="S21:T21"/>
    <mergeCell ref="W21:X21"/>
    <mergeCell ref="AB21:AC21"/>
    <mergeCell ref="AF21:AG21"/>
    <mergeCell ref="AK21:AL21"/>
    <mergeCell ref="AO21:AP21"/>
    <mergeCell ref="E21:F21"/>
    <mergeCell ref="E19:E20"/>
    <mergeCell ref="A18:B18"/>
    <mergeCell ref="A19:A20"/>
    <mergeCell ref="A13:B13"/>
    <mergeCell ref="A14:B14"/>
    <mergeCell ref="J14:K14"/>
    <mergeCell ref="S14:T14"/>
    <mergeCell ref="A15:B15"/>
    <mergeCell ref="J15:K15"/>
    <mergeCell ref="S15:T15"/>
    <mergeCell ref="N14:O14"/>
    <mergeCell ref="N15:O15"/>
    <mergeCell ref="E14:F14"/>
    <mergeCell ref="E15:F15"/>
    <mergeCell ref="AF19:AF20"/>
    <mergeCell ref="AB14:AC14"/>
    <mergeCell ref="AF14:AG14"/>
    <mergeCell ref="AK14:AL14"/>
    <mergeCell ref="AO14:AP14"/>
    <mergeCell ref="W14:X14"/>
    <mergeCell ref="W15:X15"/>
    <mergeCell ref="AB15:AC15"/>
    <mergeCell ref="AF15:AG15"/>
    <mergeCell ref="AK15:AL15"/>
    <mergeCell ref="AO15:AP15"/>
    <mergeCell ref="AB16:AC16"/>
    <mergeCell ref="AB17:AC17"/>
    <mergeCell ref="J19:J20"/>
    <mergeCell ref="N19:N20"/>
    <mergeCell ref="S19:S20"/>
    <mergeCell ref="W19:W20"/>
    <mergeCell ref="W16:X16"/>
    <mergeCell ref="W17:X17"/>
    <mergeCell ref="S18:T18"/>
    <mergeCell ref="W18:X18"/>
    <mergeCell ref="AB18:AC18"/>
    <mergeCell ref="AB19:AB20"/>
    <mergeCell ref="J16:K16"/>
    <mergeCell ref="S16:T16"/>
    <mergeCell ref="J17:K17"/>
    <mergeCell ref="S17:T17"/>
    <mergeCell ref="E13:F13"/>
    <mergeCell ref="J13:K13"/>
    <mergeCell ref="N13:O13"/>
    <mergeCell ref="AO17:AP17"/>
    <mergeCell ref="AO18:AP18"/>
    <mergeCell ref="AF16:AG16"/>
    <mergeCell ref="AK16:AL16"/>
    <mergeCell ref="AO16:AP16"/>
    <mergeCell ref="AF17:AG17"/>
    <mergeCell ref="AK17:AL17"/>
    <mergeCell ref="AF18:AG18"/>
    <mergeCell ref="AK18:AL18"/>
    <mergeCell ref="N16:O16"/>
    <mergeCell ref="N17:O17"/>
    <mergeCell ref="J18:K18"/>
    <mergeCell ref="N18:O18"/>
    <mergeCell ref="S13:T13"/>
    <mergeCell ref="W13:X13"/>
    <mergeCell ref="AB13:AC13"/>
    <mergeCell ref="AF13:AG13"/>
    <mergeCell ref="AK13:AL13"/>
    <mergeCell ref="AO13:AP13"/>
    <mergeCell ref="L6:M6"/>
    <mergeCell ref="L7:M7"/>
    <mergeCell ref="L8:M8"/>
    <mergeCell ref="J11:L11"/>
    <mergeCell ref="N11:P11"/>
    <mergeCell ref="S11:U11"/>
    <mergeCell ref="W11:Y11"/>
    <mergeCell ref="AO11:AQ11"/>
    <mergeCell ref="AD3:AF3"/>
    <mergeCell ref="AD4:AE4"/>
    <mergeCell ref="AD5:AE5"/>
    <mergeCell ref="AM5:AN5"/>
    <mergeCell ref="AD6:AE6"/>
    <mergeCell ref="AM6:AN6"/>
    <mergeCell ref="AM7:AN7"/>
    <mergeCell ref="AM8:AN8"/>
    <mergeCell ref="C6:D6"/>
    <mergeCell ref="U6:V6"/>
    <mergeCell ref="U7:V7"/>
    <mergeCell ref="U8:V8"/>
    <mergeCell ref="AD7:AE7"/>
    <mergeCell ref="AD8:AE8"/>
    <mergeCell ref="AB11:AD11"/>
    <mergeCell ref="AF11:AH11"/>
    <mergeCell ref="AK11:AM11"/>
    <mergeCell ref="C7:D7"/>
    <mergeCell ref="C8:D8"/>
    <mergeCell ref="A11:C11"/>
    <mergeCell ref="E11:G11"/>
    <mergeCell ref="C3:E3"/>
    <mergeCell ref="L3:N3"/>
    <mergeCell ref="U3:W3"/>
    <mergeCell ref="AM3:AO3"/>
    <mergeCell ref="L4:M4"/>
    <mergeCell ref="U4:V4"/>
    <mergeCell ref="AM4:AN4"/>
    <mergeCell ref="C4:D4"/>
    <mergeCell ref="C5:D5"/>
    <mergeCell ref="L5:M5"/>
    <mergeCell ref="U5:V5"/>
  </mergeCells>
  <dataValidations count="3">
    <dataValidation type="list" allowBlank="1" showErrorMessage="1" sqref="G13 P13 Y13 AH13 AQ13 G72 P72 Y72 AH72 AQ72" xr:uid="{00000000-0002-0000-0000-000000000000}">
      <formula1>"Trendline BreakDown,Head And Shoulders,Bearish Flag and Pole,Double Top + Fake Breakout,Three Black Crows,Bears Counterattack,Rounding Top,Genuine BD,Fake BO,Gap Down,Mother Candle (Bearish Reversal),Sandwich Pattern,Mother Candle (Continuation)"</formula1>
    </dataValidation>
    <dataValidation type="list" allowBlank="1" showErrorMessage="1" sqref="C13 L13 U13 AD13 AM13 C72 L72 U72 AD72 AM72" xr:uid="{00000000-0002-0000-0000-000001000000}">
      <formula1>"Trendline Breakout,Inverted Head And Shoulders,Cup And Handle,Bullish Flag and Pole,Double Bottom + Fake Breakout,Three White Soldiers,Bulls Counter Attack,Rounding Bottom,Genuine BO,Fake BD,Gap Up,Mother Candle (Bullish Reversal),Sandwich Pattern,Mother "&amp;"Candle (Continuation)"</formula1>
    </dataValidation>
    <dataValidation type="list" allowBlank="1" showErrorMessage="1" sqref="E8 N8 W8 AF8 AO8 E67 N67 W67 AF67 AO67" xr:uid="{00000000-0002-0000-0000-000002000000}">
      <formula1>"Buy,Sell"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Z987"/>
  <sheetViews>
    <sheetView workbookViewId="0"/>
  </sheetViews>
  <sheetFormatPr defaultColWidth="12.6640625" defaultRowHeight="15.75" customHeight="1" x14ac:dyDescent="0.25"/>
  <cols>
    <col min="1" max="1" width="5.88671875" customWidth="1"/>
    <col min="2" max="2" width="17" customWidth="1"/>
    <col min="3" max="3" width="28.88671875" customWidth="1"/>
    <col min="4" max="4" width="31.21875" customWidth="1"/>
    <col min="5" max="5" width="24.6640625" customWidth="1"/>
    <col min="6" max="6" width="33.77734375" customWidth="1"/>
    <col min="7" max="7" width="34.33203125" customWidth="1"/>
  </cols>
  <sheetData>
    <row r="1" spans="1:26" ht="27" customHeight="1" x14ac:dyDescent="0.25">
      <c r="A1" s="120" t="s">
        <v>104</v>
      </c>
      <c r="B1" s="121" t="s">
        <v>105</v>
      </c>
      <c r="C1" s="121" t="s">
        <v>106</v>
      </c>
      <c r="D1" s="121" t="s">
        <v>107</v>
      </c>
      <c r="E1" s="121" t="s">
        <v>108</v>
      </c>
      <c r="F1" s="121" t="s">
        <v>109</v>
      </c>
      <c r="G1" s="121" t="s">
        <v>110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41.4" x14ac:dyDescent="0.25">
      <c r="A2" s="122">
        <v>1</v>
      </c>
      <c r="B2" s="123" t="s">
        <v>111</v>
      </c>
      <c r="C2" s="124" t="s">
        <v>112</v>
      </c>
      <c r="D2" s="125" t="s">
        <v>113</v>
      </c>
      <c r="E2" s="126" t="s">
        <v>114</v>
      </c>
      <c r="F2" s="125" t="s">
        <v>115</v>
      </c>
      <c r="G2" s="125" t="s">
        <v>116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69" x14ac:dyDescent="0.25">
      <c r="A3" s="122">
        <v>2</v>
      </c>
      <c r="B3" s="127" t="s">
        <v>117</v>
      </c>
      <c r="C3" s="128" t="s">
        <v>118</v>
      </c>
      <c r="D3" s="129" t="s">
        <v>119</v>
      </c>
      <c r="E3" s="130" t="s">
        <v>120</v>
      </c>
      <c r="F3" s="128" t="s">
        <v>115</v>
      </c>
      <c r="G3" s="130" t="s">
        <v>121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55.2" x14ac:dyDescent="0.25">
      <c r="A4" s="122">
        <v>3</v>
      </c>
      <c r="B4" s="131" t="s">
        <v>122</v>
      </c>
      <c r="C4" s="128" t="s">
        <v>123</v>
      </c>
      <c r="D4" s="128" t="s">
        <v>124</v>
      </c>
      <c r="E4" s="128" t="s">
        <v>125</v>
      </c>
      <c r="F4" s="129" t="s">
        <v>126</v>
      </c>
      <c r="G4" s="132" t="s">
        <v>127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82.8" x14ac:dyDescent="0.25">
      <c r="A5" s="122">
        <v>4</v>
      </c>
      <c r="B5" s="131" t="s">
        <v>128</v>
      </c>
      <c r="C5" s="128" t="s">
        <v>129</v>
      </c>
      <c r="D5" s="129" t="s">
        <v>130</v>
      </c>
      <c r="E5" s="128" t="s">
        <v>131</v>
      </c>
      <c r="F5" s="129" t="s">
        <v>126</v>
      </c>
      <c r="G5" s="130" t="s">
        <v>132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41.4" x14ac:dyDescent="0.25">
      <c r="A6" s="122">
        <v>5</v>
      </c>
      <c r="B6" s="131" t="s">
        <v>133</v>
      </c>
      <c r="C6" s="128" t="s">
        <v>134</v>
      </c>
      <c r="D6" s="128" t="s">
        <v>135</v>
      </c>
      <c r="E6" s="133"/>
      <c r="F6" s="129" t="s">
        <v>136</v>
      </c>
      <c r="G6" s="128" t="s">
        <v>137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1.2" x14ac:dyDescent="0.25">
      <c r="A7" s="122">
        <v>6</v>
      </c>
      <c r="B7" s="131" t="s">
        <v>138</v>
      </c>
      <c r="C7" s="128" t="s">
        <v>139</v>
      </c>
      <c r="D7" s="128" t="s">
        <v>140</v>
      </c>
      <c r="E7" s="128" t="s">
        <v>141</v>
      </c>
      <c r="F7" s="128" t="s">
        <v>142</v>
      </c>
      <c r="G7" s="128" t="s">
        <v>137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41.4" x14ac:dyDescent="0.25">
      <c r="A8" s="122">
        <v>7</v>
      </c>
      <c r="B8" s="131" t="s">
        <v>143</v>
      </c>
      <c r="C8" s="129" t="s">
        <v>144</v>
      </c>
      <c r="D8" s="128" t="s">
        <v>145</v>
      </c>
      <c r="E8" s="133"/>
      <c r="F8" s="128" t="s">
        <v>146</v>
      </c>
      <c r="G8" s="129" t="s">
        <v>147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41.4" x14ac:dyDescent="0.25">
      <c r="A9" s="122">
        <v>8</v>
      </c>
      <c r="B9" s="131" t="s">
        <v>148</v>
      </c>
      <c r="C9" s="129" t="s">
        <v>149</v>
      </c>
      <c r="D9" s="129" t="s">
        <v>150</v>
      </c>
      <c r="E9" s="129" t="s">
        <v>151</v>
      </c>
      <c r="F9" s="129" t="s">
        <v>152</v>
      </c>
      <c r="G9" s="129" t="s">
        <v>137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55.2" x14ac:dyDescent="0.25">
      <c r="A10" s="122">
        <v>9</v>
      </c>
      <c r="B10" s="131" t="s">
        <v>153</v>
      </c>
      <c r="C10" s="129" t="s">
        <v>154</v>
      </c>
      <c r="D10" s="129" t="s">
        <v>155</v>
      </c>
      <c r="E10" s="129" t="s">
        <v>156</v>
      </c>
      <c r="F10" s="129" t="s">
        <v>157</v>
      </c>
      <c r="G10" s="129" t="s">
        <v>137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41.4" x14ac:dyDescent="0.25">
      <c r="A11" s="122">
        <v>10</v>
      </c>
      <c r="B11" s="131" t="s">
        <v>158</v>
      </c>
      <c r="C11" s="129" t="s">
        <v>159</v>
      </c>
      <c r="D11" s="129" t="s">
        <v>160</v>
      </c>
      <c r="E11" s="129" t="s">
        <v>151</v>
      </c>
      <c r="F11" s="129" t="s">
        <v>161</v>
      </c>
      <c r="G11" s="129" t="s">
        <v>137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6.8" x14ac:dyDescent="0.25">
      <c r="A12" s="122">
        <v>11</v>
      </c>
      <c r="B12" s="131" t="s">
        <v>162</v>
      </c>
      <c r="C12" s="129" t="s">
        <v>163</v>
      </c>
      <c r="D12" s="129" t="s">
        <v>164</v>
      </c>
      <c r="E12" s="129" t="s">
        <v>165</v>
      </c>
      <c r="F12" s="129" t="s">
        <v>166</v>
      </c>
      <c r="G12" s="129" t="s">
        <v>167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7.399999999999999" x14ac:dyDescent="0.25">
      <c r="A13" s="134" t="s">
        <v>104</v>
      </c>
      <c r="B13" s="121" t="s">
        <v>105</v>
      </c>
      <c r="C13" s="121" t="s">
        <v>106</v>
      </c>
      <c r="D13" s="121" t="s">
        <v>107</v>
      </c>
      <c r="E13" s="121" t="s">
        <v>108</v>
      </c>
      <c r="F13" s="121" t="s">
        <v>109</v>
      </c>
      <c r="G13" s="121" t="s">
        <v>110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55.2" x14ac:dyDescent="0.25">
      <c r="A14" s="135">
        <v>12</v>
      </c>
      <c r="B14" s="136" t="s">
        <v>168</v>
      </c>
      <c r="C14" s="137" t="s">
        <v>169</v>
      </c>
      <c r="D14" s="137" t="s">
        <v>170</v>
      </c>
      <c r="E14" s="138"/>
      <c r="F14" s="139" t="s">
        <v>171</v>
      </c>
      <c r="G14" s="137" t="s">
        <v>172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82.8" x14ac:dyDescent="0.25">
      <c r="A15" s="135">
        <v>13</v>
      </c>
      <c r="B15" s="136" t="s">
        <v>173</v>
      </c>
      <c r="C15" s="137" t="s">
        <v>174</v>
      </c>
      <c r="D15" s="137" t="s">
        <v>175</v>
      </c>
      <c r="E15" s="138"/>
      <c r="F15" s="137" t="s">
        <v>176</v>
      </c>
      <c r="G15" s="137" t="s">
        <v>177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7.399999999999999" x14ac:dyDescent="0.25">
      <c r="A16" s="140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7.399999999999999" x14ac:dyDescent="0.25">
      <c r="A17" s="140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7.399999999999999" x14ac:dyDescent="0.25">
      <c r="A18" s="140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7.399999999999999" x14ac:dyDescent="0.25">
      <c r="A19" s="140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7.399999999999999" x14ac:dyDescent="0.25">
      <c r="A20" s="140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7.399999999999999" x14ac:dyDescent="0.25">
      <c r="A21" s="140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7.399999999999999" x14ac:dyDescent="0.25">
      <c r="A22" s="140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7.399999999999999" x14ac:dyDescent="0.25">
      <c r="A23" s="140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7.399999999999999" x14ac:dyDescent="0.25">
      <c r="A24" s="140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7.399999999999999" x14ac:dyDescent="0.25">
      <c r="A25" s="140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7.399999999999999" x14ac:dyDescent="0.25">
      <c r="A26" s="14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7.399999999999999" x14ac:dyDescent="0.25">
      <c r="A27" s="140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7.399999999999999" x14ac:dyDescent="0.25">
      <c r="A28" s="140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7.399999999999999" x14ac:dyDescent="0.25">
      <c r="A29" s="140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7.399999999999999" x14ac:dyDescent="0.25">
      <c r="A30" s="140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7.399999999999999" x14ac:dyDescent="0.25">
      <c r="A31" s="140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7.399999999999999" x14ac:dyDescent="0.25">
      <c r="A32" s="140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7.399999999999999" x14ac:dyDescent="0.25">
      <c r="A33" s="140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7.399999999999999" x14ac:dyDescent="0.25">
      <c r="A34" s="140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7.399999999999999" x14ac:dyDescent="0.25">
      <c r="A35" s="140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7.399999999999999" x14ac:dyDescent="0.25">
      <c r="A36" s="140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7.399999999999999" x14ac:dyDescent="0.25">
      <c r="A37" s="140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7.399999999999999" x14ac:dyDescent="0.25">
      <c r="A38" s="14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7.399999999999999" x14ac:dyDescent="0.25">
      <c r="A39" s="140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7.399999999999999" x14ac:dyDescent="0.25">
      <c r="A40" s="140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7.399999999999999" x14ac:dyDescent="0.25">
      <c r="A41" s="140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7.399999999999999" x14ac:dyDescent="0.25">
      <c r="A42" s="140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7.399999999999999" x14ac:dyDescent="0.25">
      <c r="A43" s="140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7.399999999999999" x14ac:dyDescent="0.25">
      <c r="A44" s="140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7.399999999999999" x14ac:dyDescent="0.25">
      <c r="A45" s="140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7.399999999999999" x14ac:dyDescent="0.25">
      <c r="A46" s="140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7.399999999999999" x14ac:dyDescent="0.25">
      <c r="A47" s="140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7.399999999999999" x14ac:dyDescent="0.25">
      <c r="A48" s="140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7.399999999999999" x14ac:dyDescent="0.25">
      <c r="A49" s="140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7.399999999999999" x14ac:dyDescent="0.25">
      <c r="A50" s="140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7.399999999999999" x14ac:dyDescent="0.25">
      <c r="A51" s="140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7.399999999999999" x14ac:dyDescent="0.25">
      <c r="A52" s="140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7.399999999999999" x14ac:dyDescent="0.25">
      <c r="A53" s="140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7.399999999999999" x14ac:dyDescent="0.25">
      <c r="A54" s="140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7.399999999999999" x14ac:dyDescent="0.25">
      <c r="A55" s="140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7.399999999999999" x14ac:dyDescent="0.25">
      <c r="A56" s="140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7.399999999999999" x14ac:dyDescent="0.25">
      <c r="A57" s="140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7.399999999999999" x14ac:dyDescent="0.25">
      <c r="A58" s="140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7.399999999999999" x14ac:dyDescent="0.25">
      <c r="A59" s="140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7.399999999999999" x14ac:dyDescent="0.25">
      <c r="A60" s="140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7.399999999999999" x14ac:dyDescent="0.25">
      <c r="A61" s="140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7.399999999999999" x14ac:dyDescent="0.25">
      <c r="A62" s="140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7.399999999999999" x14ac:dyDescent="0.25">
      <c r="A63" s="140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7.399999999999999" x14ac:dyDescent="0.25">
      <c r="A64" s="140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7.399999999999999" x14ac:dyDescent="0.25">
      <c r="A65" s="140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7.399999999999999" x14ac:dyDescent="0.25">
      <c r="A66" s="140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7.399999999999999" x14ac:dyDescent="0.25">
      <c r="A67" s="140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7.399999999999999" x14ac:dyDescent="0.25">
      <c r="A68" s="140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7.399999999999999" x14ac:dyDescent="0.25">
      <c r="A69" s="140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7.399999999999999" x14ac:dyDescent="0.25">
      <c r="A70" s="140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7.399999999999999" x14ac:dyDescent="0.25">
      <c r="A71" s="140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7.399999999999999" x14ac:dyDescent="0.25">
      <c r="A72" s="140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7.399999999999999" x14ac:dyDescent="0.25">
      <c r="A73" s="140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7.399999999999999" x14ac:dyDescent="0.25">
      <c r="A74" s="140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7.399999999999999" x14ac:dyDescent="0.25">
      <c r="A75" s="140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7.399999999999999" x14ac:dyDescent="0.25">
      <c r="A76" s="140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7.399999999999999" x14ac:dyDescent="0.25">
      <c r="A77" s="140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7.399999999999999" x14ac:dyDescent="0.25">
      <c r="A78" s="140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7.399999999999999" x14ac:dyDescent="0.25">
      <c r="A79" s="140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7.399999999999999" x14ac:dyDescent="0.25">
      <c r="A80" s="140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7.399999999999999" x14ac:dyDescent="0.25">
      <c r="A81" s="140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7.399999999999999" x14ac:dyDescent="0.25">
      <c r="A82" s="140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7.399999999999999" x14ac:dyDescent="0.25">
      <c r="A83" s="140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7.399999999999999" x14ac:dyDescent="0.25">
      <c r="A84" s="140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7.399999999999999" x14ac:dyDescent="0.25">
      <c r="A85" s="140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7.399999999999999" x14ac:dyDescent="0.25">
      <c r="A86" s="140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7.399999999999999" x14ac:dyDescent="0.25">
      <c r="A87" s="140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7.399999999999999" x14ac:dyDescent="0.25">
      <c r="A88" s="140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7.399999999999999" x14ac:dyDescent="0.25">
      <c r="A89" s="140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7.399999999999999" x14ac:dyDescent="0.25">
      <c r="A90" s="140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7.399999999999999" x14ac:dyDescent="0.25">
      <c r="A91" s="140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7.399999999999999" x14ac:dyDescent="0.25">
      <c r="A92" s="140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7.399999999999999" x14ac:dyDescent="0.25">
      <c r="A93" s="140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7.399999999999999" x14ac:dyDescent="0.25">
      <c r="A94" s="140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7.399999999999999" x14ac:dyDescent="0.25">
      <c r="A95" s="140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7.399999999999999" x14ac:dyDescent="0.25">
      <c r="A96" s="140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7.399999999999999" x14ac:dyDescent="0.25">
      <c r="A97" s="140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7.399999999999999" x14ac:dyDescent="0.25">
      <c r="A98" s="140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7.399999999999999" x14ac:dyDescent="0.25">
      <c r="A99" s="140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7.399999999999999" x14ac:dyDescent="0.25">
      <c r="A100" s="140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7.399999999999999" x14ac:dyDescent="0.25">
      <c r="A101" s="140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7.399999999999999" x14ac:dyDescent="0.25">
      <c r="A102" s="140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7.399999999999999" x14ac:dyDescent="0.25">
      <c r="A103" s="140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7.399999999999999" x14ac:dyDescent="0.25">
      <c r="A104" s="140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7.399999999999999" x14ac:dyDescent="0.25">
      <c r="A105" s="140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7.399999999999999" x14ac:dyDescent="0.25">
      <c r="A106" s="140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7.399999999999999" x14ac:dyDescent="0.25">
      <c r="A107" s="140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7.399999999999999" x14ac:dyDescent="0.25">
      <c r="A108" s="140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7.399999999999999" x14ac:dyDescent="0.25">
      <c r="A109" s="140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7.399999999999999" x14ac:dyDescent="0.25">
      <c r="A110" s="140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7.399999999999999" x14ac:dyDescent="0.25">
      <c r="A111" s="140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7.399999999999999" x14ac:dyDescent="0.25">
      <c r="A112" s="140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7.399999999999999" x14ac:dyDescent="0.25">
      <c r="A113" s="140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7.399999999999999" x14ac:dyDescent="0.25">
      <c r="A114" s="140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7.399999999999999" x14ac:dyDescent="0.25">
      <c r="A115" s="140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7.399999999999999" x14ac:dyDescent="0.25">
      <c r="A116" s="140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7.399999999999999" x14ac:dyDescent="0.25">
      <c r="A117" s="140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7.399999999999999" x14ac:dyDescent="0.25">
      <c r="A118" s="140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7.399999999999999" x14ac:dyDescent="0.25">
      <c r="A119" s="140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7.399999999999999" x14ac:dyDescent="0.25">
      <c r="A120" s="140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7.399999999999999" x14ac:dyDescent="0.25">
      <c r="A121" s="140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7.399999999999999" x14ac:dyDescent="0.25">
      <c r="A122" s="140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7.399999999999999" x14ac:dyDescent="0.25">
      <c r="A123" s="140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7.399999999999999" x14ac:dyDescent="0.25">
      <c r="A124" s="140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7.399999999999999" x14ac:dyDescent="0.25">
      <c r="A125" s="140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7.399999999999999" x14ac:dyDescent="0.25">
      <c r="A126" s="140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7.399999999999999" x14ac:dyDescent="0.25">
      <c r="A127" s="140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7.399999999999999" x14ac:dyDescent="0.25">
      <c r="A128" s="140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7.399999999999999" x14ac:dyDescent="0.25">
      <c r="A129" s="140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7.399999999999999" x14ac:dyDescent="0.25">
      <c r="A130" s="140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7.399999999999999" x14ac:dyDescent="0.25">
      <c r="A131" s="140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7.399999999999999" x14ac:dyDescent="0.25">
      <c r="A132" s="140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7.399999999999999" x14ac:dyDescent="0.25">
      <c r="A133" s="140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7.399999999999999" x14ac:dyDescent="0.25">
      <c r="A134" s="140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7.399999999999999" x14ac:dyDescent="0.25">
      <c r="A135" s="140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7.399999999999999" x14ac:dyDescent="0.25">
      <c r="A136" s="140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7.399999999999999" x14ac:dyDescent="0.25">
      <c r="A137" s="140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7.399999999999999" x14ac:dyDescent="0.25">
      <c r="A138" s="140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7.399999999999999" x14ac:dyDescent="0.25">
      <c r="A139" s="140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7.399999999999999" x14ac:dyDescent="0.25">
      <c r="A140" s="140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7.399999999999999" x14ac:dyDescent="0.25">
      <c r="A141" s="140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7.399999999999999" x14ac:dyDescent="0.25">
      <c r="A142" s="140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7.399999999999999" x14ac:dyDescent="0.25">
      <c r="A143" s="140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7.399999999999999" x14ac:dyDescent="0.25">
      <c r="A144" s="140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7.399999999999999" x14ac:dyDescent="0.25">
      <c r="A145" s="140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7.399999999999999" x14ac:dyDescent="0.25">
      <c r="A146" s="140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7.399999999999999" x14ac:dyDescent="0.25">
      <c r="A147" s="140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7.399999999999999" x14ac:dyDescent="0.25">
      <c r="A148" s="140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7.399999999999999" x14ac:dyDescent="0.25">
      <c r="A149" s="140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7.399999999999999" x14ac:dyDescent="0.25">
      <c r="A150" s="140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7.399999999999999" x14ac:dyDescent="0.25">
      <c r="A151" s="140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7.399999999999999" x14ac:dyDescent="0.25">
      <c r="A152" s="140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7.399999999999999" x14ac:dyDescent="0.25">
      <c r="A153" s="140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7.399999999999999" x14ac:dyDescent="0.25">
      <c r="A154" s="140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7.399999999999999" x14ac:dyDescent="0.25">
      <c r="A155" s="140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7.399999999999999" x14ac:dyDescent="0.25">
      <c r="A156" s="140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7.399999999999999" x14ac:dyDescent="0.25">
      <c r="A157" s="140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7.399999999999999" x14ac:dyDescent="0.25">
      <c r="A158" s="140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7.399999999999999" x14ac:dyDescent="0.25">
      <c r="A159" s="140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7.399999999999999" x14ac:dyDescent="0.25">
      <c r="A160" s="140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7.399999999999999" x14ac:dyDescent="0.25">
      <c r="A161" s="140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7.399999999999999" x14ac:dyDescent="0.25">
      <c r="A162" s="140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7.399999999999999" x14ac:dyDescent="0.25">
      <c r="A163" s="140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7.399999999999999" x14ac:dyDescent="0.25">
      <c r="A164" s="140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7.399999999999999" x14ac:dyDescent="0.25">
      <c r="A165" s="140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7.399999999999999" x14ac:dyDescent="0.25">
      <c r="A166" s="140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7.399999999999999" x14ac:dyDescent="0.25">
      <c r="A167" s="140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7.399999999999999" x14ac:dyDescent="0.25">
      <c r="A168" s="140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7.399999999999999" x14ac:dyDescent="0.25">
      <c r="A169" s="140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7.399999999999999" x14ac:dyDescent="0.25">
      <c r="A170" s="140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7.399999999999999" x14ac:dyDescent="0.25">
      <c r="A171" s="140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7.399999999999999" x14ac:dyDescent="0.25">
      <c r="A172" s="140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7.399999999999999" x14ac:dyDescent="0.25">
      <c r="A173" s="140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7.399999999999999" x14ac:dyDescent="0.25">
      <c r="A174" s="140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7.399999999999999" x14ac:dyDescent="0.25">
      <c r="A175" s="140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7.399999999999999" x14ac:dyDescent="0.25">
      <c r="A176" s="140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7.399999999999999" x14ac:dyDescent="0.25">
      <c r="A177" s="140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7.399999999999999" x14ac:dyDescent="0.25">
      <c r="A178" s="140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7.399999999999999" x14ac:dyDescent="0.25">
      <c r="A179" s="140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7.399999999999999" x14ac:dyDescent="0.25">
      <c r="A180" s="140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7.399999999999999" x14ac:dyDescent="0.25">
      <c r="A181" s="140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7.399999999999999" x14ac:dyDescent="0.25">
      <c r="A182" s="140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7.399999999999999" x14ac:dyDescent="0.25">
      <c r="A183" s="140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7.399999999999999" x14ac:dyDescent="0.25">
      <c r="A184" s="140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7.399999999999999" x14ac:dyDescent="0.25">
      <c r="A185" s="140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7.399999999999999" x14ac:dyDescent="0.25">
      <c r="A186" s="140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7.399999999999999" x14ac:dyDescent="0.25">
      <c r="A187" s="140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7.399999999999999" x14ac:dyDescent="0.25">
      <c r="A188" s="140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7.399999999999999" x14ac:dyDescent="0.25">
      <c r="A189" s="140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7.399999999999999" x14ac:dyDescent="0.25">
      <c r="A190" s="140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7.399999999999999" x14ac:dyDescent="0.25">
      <c r="A191" s="140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7.399999999999999" x14ac:dyDescent="0.25">
      <c r="A192" s="140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7.399999999999999" x14ac:dyDescent="0.25">
      <c r="A193" s="140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7.399999999999999" x14ac:dyDescent="0.25">
      <c r="A194" s="140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7.399999999999999" x14ac:dyDescent="0.25">
      <c r="A195" s="140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7.399999999999999" x14ac:dyDescent="0.25">
      <c r="A196" s="140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7.399999999999999" x14ac:dyDescent="0.25">
      <c r="A197" s="140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7.399999999999999" x14ac:dyDescent="0.25">
      <c r="A198" s="140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7.399999999999999" x14ac:dyDescent="0.25">
      <c r="A199" s="140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7.399999999999999" x14ac:dyDescent="0.25">
      <c r="A200" s="140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7.399999999999999" x14ac:dyDescent="0.25">
      <c r="A201" s="140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7.399999999999999" x14ac:dyDescent="0.25">
      <c r="A202" s="140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7.399999999999999" x14ac:dyDescent="0.25">
      <c r="A203" s="140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7.399999999999999" x14ac:dyDescent="0.25">
      <c r="A204" s="140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7.399999999999999" x14ac:dyDescent="0.25">
      <c r="A205" s="140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7.399999999999999" x14ac:dyDescent="0.25">
      <c r="A206" s="140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7.399999999999999" x14ac:dyDescent="0.25">
      <c r="A207" s="140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7.399999999999999" x14ac:dyDescent="0.25">
      <c r="A208" s="140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7.399999999999999" x14ac:dyDescent="0.25">
      <c r="A209" s="140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7.399999999999999" x14ac:dyDescent="0.25">
      <c r="A210" s="140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7.399999999999999" x14ac:dyDescent="0.25">
      <c r="A211" s="140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7.399999999999999" x14ac:dyDescent="0.25">
      <c r="A212" s="140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7.399999999999999" x14ac:dyDescent="0.25">
      <c r="A213" s="140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7.399999999999999" x14ac:dyDescent="0.25">
      <c r="A214" s="140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7.399999999999999" x14ac:dyDescent="0.25">
      <c r="A215" s="140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7.399999999999999" x14ac:dyDescent="0.25">
      <c r="A216" s="140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7.399999999999999" x14ac:dyDescent="0.25">
      <c r="A217" s="140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7.399999999999999" x14ac:dyDescent="0.25">
      <c r="A218" s="140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7.399999999999999" x14ac:dyDescent="0.25">
      <c r="A219" s="140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7.399999999999999" x14ac:dyDescent="0.25">
      <c r="A220" s="140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7.399999999999999" x14ac:dyDescent="0.25">
      <c r="A221" s="140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7.399999999999999" x14ac:dyDescent="0.25">
      <c r="A222" s="140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7.399999999999999" x14ac:dyDescent="0.25">
      <c r="A223" s="140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7.399999999999999" x14ac:dyDescent="0.25">
      <c r="A224" s="140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7.399999999999999" x14ac:dyDescent="0.25">
      <c r="A225" s="140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7.399999999999999" x14ac:dyDescent="0.25">
      <c r="A226" s="140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7.399999999999999" x14ac:dyDescent="0.25">
      <c r="A227" s="140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7.399999999999999" x14ac:dyDescent="0.25">
      <c r="A228" s="140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7.399999999999999" x14ac:dyDescent="0.25">
      <c r="A229" s="140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7.399999999999999" x14ac:dyDescent="0.25">
      <c r="A230" s="140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7.399999999999999" x14ac:dyDescent="0.25">
      <c r="A231" s="140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7.399999999999999" x14ac:dyDescent="0.25">
      <c r="A232" s="140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7.399999999999999" x14ac:dyDescent="0.25">
      <c r="A233" s="140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7.399999999999999" x14ac:dyDescent="0.25">
      <c r="A234" s="140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7.399999999999999" x14ac:dyDescent="0.25">
      <c r="A235" s="140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7.399999999999999" x14ac:dyDescent="0.25">
      <c r="A236" s="140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7.399999999999999" x14ac:dyDescent="0.25">
      <c r="A237" s="140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7.399999999999999" x14ac:dyDescent="0.25">
      <c r="A238" s="140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7.399999999999999" x14ac:dyDescent="0.25">
      <c r="A239" s="140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7.399999999999999" x14ac:dyDescent="0.25">
      <c r="A240" s="140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7.399999999999999" x14ac:dyDescent="0.25">
      <c r="A241" s="140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7.399999999999999" x14ac:dyDescent="0.25">
      <c r="A242" s="140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7.399999999999999" x14ac:dyDescent="0.25">
      <c r="A243" s="140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7.399999999999999" x14ac:dyDescent="0.25">
      <c r="A244" s="140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7.399999999999999" x14ac:dyDescent="0.25">
      <c r="A245" s="140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7.399999999999999" x14ac:dyDescent="0.25">
      <c r="A246" s="140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7.399999999999999" x14ac:dyDescent="0.25">
      <c r="A247" s="140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7.399999999999999" x14ac:dyDescent="0.25">
      <c r="A248" s="140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7.399999999999999" x14ac:dyDescent="0.25">
      <c r="A249" s="140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7.399999999999999" x14ac:dyDescent="0.25">
      <c r="A250" s="140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7.399999999999999" x14ac:dyDescent="0.25">
      <c r="A251" s="140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7.399999999999999" x14ac:dyDescent="0.25">
      <c r="A252" s="140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7.399999999999999" x14ac:dyDescent="0.25">
      <c r="A253" s="140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7.399999999999999" x14ac:dyDescent="0.25">
      <c r="A254" s="140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7.399999999999999" x14ac:dyDescent="0.25">
      <c r="A255" s="140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7.399999999999999" x14ac:dyDescent="0.25">
      <c r="A256" s="140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7.399999999999999" x14ac:dyDescent="0.25">
      <c r="A257" s="140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7.399999999999999" x14ac:dyDescent="0.25">
      <c r="A258" s="140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7.399999999999999" x14ac:dyDescent="0.25">
      <c r="A259" s="140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7.399999999999999" x14ac:dyDescent="0.25">
      <c r="A260" s="140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7.399999999999999" x14ac:dyDescent="0.25">
      <c r="A261" s="140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7.399999999999999" x14ac:dyDescent="0.25">
      <c r="A262" s="140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7.399999999999999" x14ac:dyDescent="0.25">
      <c r="A263" s="140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7.399999999999999" x14ac:dyDescent="0.25">
      <c r="A264" s="140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7.399999999999999" x14ac:dyDescent="0.25">
      <c r="A265" s="140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7.399999999999999" x14ac:dyDescent="0.25">
      <c r="A266" s="140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7.399999999999999" x14ac:dyDescent="0.25">
      <c r="A267" s="140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7.399999999999999" x14ac:dyDescent="0.25">
      <c r="A268" s="140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7.399999999999999" x14ac:dyDescent="0.25">
      <c r="A269" s="140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7.399999999999999" x14ac:dyDescent="0.25">
      <c r="A270" s="140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7.399999999999999" x14ac:dyDescent="0.25">
      <c r="A271" s="140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7.399999999999999" x14ac:dyDescent="0.25">
      <c r="A272" s="140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7.399999999999999" x14ac:dyDescent="0.25">
      <c r="A273" s="140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7.399999999999999" x14ac:dyDescent="0.25">
      <c r="A274" s="140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7.399999999999999" x14ac:dyDescent="0.25">
      <c r="A275" s="140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7.399999999999999" x14ac:dyDescent="0.25">
      <c r="A276" s="140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7.399999999999999" x14ac:dyDescent="0.25">
      <c r="A277" s="140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7.399999999999999" x14ac:dyDescent="0.25">
      <c r="A278" s="140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7.399999999999999" x14ac:dyDescent="0.25">
      <c r="A279" s="140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7.399999999999999" x14ac:dyDescent="0.25">
      <c r="A280" s="140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7.399999999999999" x14ac:dyDescent="0.25">
      <c r="A281" s="140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7.399999999999999" x14ac:dyDescent="0.25">
      <c r="A282" s="140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7.399999999999999" x14ac:dyDescent="0.25">
      <c r="A283" s="140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7.399999999999999" x14ac:dyDescent="0.25">
      <c r="A284" s="140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7.399999999999999" x14ac:dyDescent="0.25">
      <c r="A285" s="140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7.399999999999999" x14ac:dyDescent="0.25">
      <c r="A286" s="140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7.399999999999999" x14ac:dyDescent="0.25">
      <c r="A287" s="140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7.399999999999999" x14ac:dyDescent="0.25">
      <c r="A288" s="140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7.399999999999999" x14ac:dyDescent="0.25">
      <c r="A289" s="140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7.399999999999999" x14ac:dyDescent="0.25">
      <c r="A290" s="140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7.399999999999999" x14ac:dyDescent="0.25">
      <c r="A291" s="140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7.399999999999999" x14ac:dyDescent="0.25">
      <c r="A292" s="140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7.399999999999999" x14ac:dyDescent="0.25">
      <c r="A293" s="140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7.399999999999999" x14ac:dyDescent="0.25">
      <c r="A294" s="140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7.399999999999999" x14ac:dyDescent="0.25">
      <c r="A295" s="140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7.399999999999999" x14ac:dyDescent="0.25">
      <c r="A296" s="140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7.399999999999999" x14ac:dyDescent="0.25">
      <c r="A297" s="140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7.399999999999999" x14ac:dyDescent="0.25">
      <c r="A298" s="140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7.399999999999999" x14ac:dyDescent="0.25">
      <c r="A299" s="140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7.399999999999999" x14ac:dyDescent="0.25">
      <c r="A300" s="140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7.399999999999999" x14ac:dyDescent="0.25">
      <c r="A301" s="140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7.399999999999999" x14ac:dyDescent="0.25">
      <c r="A302" s="140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7.399999999999999" x14ac:dyDescent="0.25">
      <c r="A303" s="140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7.399999999999999" x14ac:dyDescent="0.25">
      <c r="A304" s="140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7.399999999999999" x14ac:dyDescent="0.25">
      <c r="A305" s="140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7.399999999999999" x14ac:dyDescent="0.25">
      <c r="A306" s="140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7.399999999999999" x14ac:dyDescent="0.25">
      <c r="A307" s="140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7.399999999999999" x14ac:dyDescent="0.25">
      <c r="A308" s="140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7.399999999999999" x14ac:dyDescent="0.25">
      <c r="A309" s="140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7.399999999999999" x14ac:dyDescent="0.25">
      <c r="A310" s="140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7.399999999999999" x14ac:dyDescent="0.25">
      <c r="A311" s="140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7.399999999999999" x14ac:dyDescent="0.25">
      <c r="A312" s="140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7.399999999999999" x14ac:dyDescent="0.25">
      <c r="A313" s="140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7.399999999999999" x14ac:dyDescent="0.25">
      <c r="A314" s="140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7.399999999999999" x14ac:dyDescent="0.25">
      <c r="A315" s="140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7.399999999999999" x14ac:dyDescent="0.25">
      <c r="A316" s="140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7.399999999999999" x14ac:dyDescent="0.25">
      <c r="A317" s="140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7.399999999999999" x14ac:dyDescent="0.25">
      <c r="A318" s="140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7.399999999999999" x14ac:dyDescent="0.25">
      <c r="A319" s="140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7.399999999999999" x14ac:dyDescent="0.25">
      <c r="A320" s="140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7.399999999999999" x14ac:dyDescent="0.25">
      <c r="A321" s="140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7.399999999999999" x14ac:dyDescent="0.25">
      <c r="A322" s="140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7.399999999999999" x14ac:dyDescent="0.25">
      <c r="A323" s="140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7.399999999999999" x14ac:dyDescent="0.25">
      <c r="A324" s="140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7.399999999999999" x14ac:dyDescent="0.25">
      <c r="A325" s="140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7.399999999999999" x14ac:dyDescent="0.25">
      <c r="A326" s="140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7.399999999999999" x14ac:dyDescent="0.25">
      <c r="A327" s="140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7.399999999999999" x14ac:dyDescent="0.25">
      <c r="A328" s="140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7.399999999999999" x14ac:dyDescent="0.25">
      <c r="A329" s="140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7.399999999999999" x14ac:dyDescent="0.25">
      <c r="A330" s="140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7.399999999999999" x14ac:dyDescent="0.25">
      <c r="A331" s="140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7.399999999999999" x14ac:dyDescent="0.25">
      <c r="A332" s="140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7.399999999999999" x14ac:dyDescent="0.25">
      <c r="A333" s="140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7.399999999999999" x14ac:dyDescent="0.25">
      <c r="A334" s="140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7.399999999999999" x14ac:dyDescent="0.25">
      <c r="A335" s="140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7.399999999999999" x14ac:dyDescent="0.25">
      <c r="A336" s="140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7.399999999999999" x14ac:dyDescent="0.25">
      <c r="A337" s="140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7.399999999999999" x14ac:dyDescent="0.25">
      <c r="A338" s="140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7.399999999999999" x14ac:dyDescent="0.25">
      <c r="A339" s="140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7.399999999999999" x14ac:dyDescent="0.25">
      <c r="A340" s="140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7.399999999999999" x14ac:dyDescent="0.25">
      <c r="A341" s="140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7.399999999999999" x14ac:dyDescent="0.25">
      <c r="A342" s="140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7.399999999999999" x14ac:dyDescent="0.25">
      <c r="A343" s="140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7.399999999999999" x14ac:dyDescent="0.25">
      <c r="A344" s="140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7.399999999999999" x14ac:dyDescent="0.25">
      <c r="A345" s="140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7.399999999999999" x14ac:dyDescent="0.25">
      <c r="A346" s="140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7.399999999999999" x14ac:dyDescent="0.25">
      <c r="A347" s="140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7.399999999999999" x14ac:dyDescent="0.25">
      <c r="A348" s="140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7.399999999999999" x14ac:dyDescent="0.25">
      <c r="A349" s="140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7.399999999999999" x14ac:dyDescent="0.25">
      <c r="A350" s="140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7.399999999999999" x14ac:dyDescent="0.25">
      <c r="A351" s="140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7.399999999999999" x14ac:dyDescent="0.25">
      <c r="A352" s="140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7.399999999999999" x14ac:dyDescent="0.25">
      <c r="A353" s="140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7.399999999999999" x14ac:dyDescent="0.25">
      <c r="A354" s="140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7.399999999999999" x14ac:dyDescent="0.25">
      <c r="A355" s="140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7.399999999999999" x14ac:dyDescent="0.25">
      <c r="A356" s="140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7.399999999999999" x14ac:dyDescent="0.25">
      <c r="A357" s="140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7.399999999999999" x14ac:dyDescent="0.25">
      <c r="A358" s="140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7.399999999999999" x14ac:dyDescent="0.25">
      <c r="A359" s="140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7.399999999999999" x14ac:dyDescent="0.25">
      <c r="A360" s="140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7.399999999999999" x14ac:dyDescent="0.25">
      <c r="A361" s="140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7.399999999999999" x14ac:dyDescent="0.25">
      <c r="A362" s="140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7.399999999999999" x14ac:dyDescent="0.25">
      <c r="A363" s="140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7.399999999999999" x14ac:dyDescent="0.25">
      <c r="A364" s="140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7.399999999999999" x14ac:dyDescent="0.25">
      <c r="A365" s="140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7.399999999999999" x14ac:dyDescent="0.25">
      <c r="A366" s="140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7.399999999999999" x14ac:dyDescent="0.25">
      <c r="A367" s="140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7.399999999999999" x14ac:dyDescent="0.25">
      <c r="A368" s="140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7.399999999999999" x14ac:dyDescent="0.25">
      <c r="A369" s="140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7.399999999999999" x14ac:dyDescent="0.25">
      <c r="A370" s="140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7.399999999999999" x14ac:dyDescent="0.25">
      <c r="A371" s="140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7.399999999999999" x14ac:dyDescent="0.25">
      <c r="A372" s="140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7.399999999999999" x14ac:dyDescent="0.25">
      <c r="A373" s="140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7.399999999999999" x14ac:dyDescent="0.25">
      <c r="A374" s="140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7.399999999999999" x14ac:dyDescent="0.25">
      <c r="A375" s="140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7.399999999999999" x14ac:dyDescent="0.25">
      <c r="A376" s="140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7.399999999999999" x14ac:dyDescent="0.25">
      <c r="A377" s="140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7.399999999999999" x14ac:dyDescent="0.25">
      <c r="A378" s="140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7.399999999999999" x14ac:dyDescent="0.25">
      <c r="A379" s="140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7.399999999999999" x14ac:dyDescent="0.25">
      <c r="A380" s="140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7.399999999999999" x14ac:dyDescent="0.25">
      <c r="A381" s="140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7.399999999999999" x14ac:dyDescent="0.25">
      <c r="A382" s="140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7.399999999999999" x14ac:dyDescent="0.25">
      <c r="A383" s="140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7.399999999999999" x14ac:dyDescent="0.25">
      <c r="A384" s="140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7.399999999999999" x14ac:dyDescent="0.25">
      <c r="A385" s="140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7.399999999999999" x14ac:dyDescent="0.25">
      <c r="A386" s="140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7.399999999999999" x14ac:dyDescent="0.25">
      <c r="A387" s="140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7.399999999999999" x14ac:dyDescent="0.25">
      <c r="A388" s="140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7.399999999999999" x14ac:dyDescent="0.25">
      <c r="A389" s="140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7.399999999999999" x14ac:dyDescent="0.25">
      <c r="A390" s="140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7.399999999999999" x14ac:dyDescent="0.25">
      <c r="A391" s="140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7.399999999999999" x14ac:dyDescent="0.25">
      <c r="A392" s="140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7.399999999999999" x14ac:dyDescent="0.25">
      <c r="A393" s="140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7.399999999999999" x14ac:dyDescent="0.25">
      <c r="A394" s="140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7.399999999999999" x14ac:dyDescent="0.25">
      <c r="A395" s="140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7.399999999999999" x14ac:dyDescent="0.25">
      <c r="A396" s="140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7.399999999999999" x14ac:dyDescent="0.25">
      <c r="A397" s="140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7.399999999999999" x14ac:dyDescent="0.25">
      <c r="A398" s="140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7.399999999999999" x14ac:dyDescent="0.25">
      <c r="A399" s="140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7.399999999999999" x14ac:dyDescent="0.25">
      <c r="A400" s="140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7.399999999999999" x14ac:dyDescent="0.25">
      <c r="A401" s="140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7.399999999999999" x14ac:dyDescent="0.25">
      <c r="A402" s="140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7.399999999999999" x14ac:dyDescent="0.25">
      <c r="A403" s="140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7.399999999999999" x14ac:dyDescent="0.25">
      <c r="A404" s="140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7.399999999999999" x14ac:dyDescent="0.25">
      <c r="A405" s="140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7.399999999999999" x14ac:dyDescent="0.25">
      <c r="A406" s="140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7.399999999999999" x14ac:dyDescent="0.25">
      <c r="A407" s="140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7.399999999999999" x14ac:dyDescent="0.25">
      <c r="A408" s="140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7.399999999999999" x14ac:dyDescent="0.25">
      <c r="A409" s="140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7.399999999999999" x14ac:dyDescent="0.25">
      <c r="A410" s="140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7.399999999999999" x14ac:dyDescent="0.25">
      <c r="A411" s="140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7.399999999999999" x14ac:dyDescent="0.25">
      <c r="A412" s="140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7.399999999999999" x14ac:dyDescent="0.25">
      <c r="A413" s="140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7.399999999999999" x14ac:dyDescent="0.25">
      <c r="A414" s="140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7.399999999999999" x14ac:dyDescent="0.25">
      <c r="A415" s="140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7.399999999999999" x14ac:dyDescent="0.25">
      <c r="A416" s="140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7.399999999999999" x14ac:dyDescent="0.25">
      <c r="A417" s="140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7.399999999999999" x14ac:dyDescent="0.25">
      <c r="A418" s="140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7.399999999999999" x14ac:dyDescent="0.25">
      <c r="A419" s="140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7.399999999999999" x14ac:dyDescent="0.25">
      <c r="A420" s="140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7.399999999999999" x14ac:dyDescent="0.25">
      <c r="A421" s="140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7.399999999999999" x14ac:dyDescent="0.25">
      <c r="A422" s="140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7.399999999999999" x14ac:dyDescent="0.25">
      <c r="A423" s="140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7.399999999999999" x14ac:dyDescent="0.25">
      <c r="A424" s="140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7.399999999999999" x14ac:dyDescent="0.25">
      <c r="A425" s="140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7.399999999999999" x14ac:dyDescent="0.25">
      <c r="A426" s="140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7.399999999999999" x14ac:dyDescent="0.25">
      <c r="A427" s="140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7.399999999999999" x14ac:dyDescent="0.25">
      <c r="A428" s="140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7.399999999999999" x14ac:dyDescent="0.25">
      <c r="A429" s="140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7.399999999999999" x14ac:dyDescent="0.25">
      <c r="A430" s="140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7.399999999999999" x14ac:dyDescent="0.25">
      <c r="A431" s="140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7.399999999999999" x14ac:dyDescent="0.25">
      <c r="A432" s="140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7.399999999999999" x14ac:dyDescent="0.25">
      <c r="A433" s="140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7.399999999999999" x14ac:dyDescent="0.25">
      <c r="A434" s="140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7.399999999999999" x14ac:dyDescent="0.25">
      <c r="A435" s="140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7.399999999999999" x14ac:dyDescent="0.25">
      <c r="A436" s="140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7.399999999999999" x14ac:dyDescent="0.25">
      <c r="A437" s="140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7.399999999999999" x14ac:dyDescent="0.25">
      <c r="A438" s="140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7.399999999999999" x14ac:dyDescent="0.25">
      <c r="A439" s="140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7.399999999999999" x14ac:dyDescent="0.25">
      <c r="A440" s="140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7.399999999999999" x14ac:dyDescent="0.25">
      <c r="A441" s="140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7.399999999999999" x14ac:dyDescent="0.25">
      <c r="A442" s="140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7.399999999999999" x14ac:dyDescent="0.25">
      <c r="A443" s="140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7.399999999999999" x14ac:dyDescent="0.25">
      <c r="A444" s="140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7.399999999999999" x14ac:dyDescent="0.25">
      <c r="A445" s="140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7.399999999999999" x14ac:dyDescent="0.25">
      <c r="A446" s="140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7.399999999999999" x14ac:dyDescent="0.25">
      <c r="A447" s="140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7.399999999999999" x14ac:dyDescent="0.25">
      <c r="A448" s="140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7.399999999999999" x14ac:dyDescent="0.25">
      <c r="A449" s="140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7.399999999999999" x14ac:dyDescent="0.25">
      <c r="A450" s="140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7.399999999999999" x14ac:dyDescent="0.25">
      <c r="A451" s="140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7.399999999999999" x14ac:dyDescent="0.25">
      <c r="A452" s="140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7.399999999999999" x14ac:dyDescent="0.25">
      <c r="A453" s="140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7.399999999999999" x14ac:dyDescent="0.25">
      <c r="A454" s="140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7.399999999999999" x14ac:dyDescent="0.25">
      <c r="A455" s="140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7.399999999999999" x14ac:dyDescent="0.25">
      <c r="A456" s="140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7.399999999999999" x14ac:dyDescent="0.25">
      <c r="A457" s="140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7.399999999999999" x14ac:dyDescent="0.25">
      <c r="A458" s="140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7.399999999999999" x14ac:dyDescent="0.25">
      <c r="A459" s="140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7.399999999999999" x14ac:dyDescent="0.25">
      <c r="A460" s="140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7.399999999999999" x14ac:dyDescent="0.25">
      <c r="A461" s="140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7.399999999999999" x14ac:dyDescent="0.25">
      <c r="A462" s="140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7.399999999999999" x14ac:dyDescent="0.25">
      <c r="A463" s="140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7.399999999999999" x14ac:dyDescent="0.25">
      <c r="A464" s="140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7.399999999999999" x14ac:dyDescent="0.25">
      <c r="A465" s="140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7.399999999999999" x14ac:dyDescent="0.25">
      <c r="A466" s="140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7.399999999999999" x14ac:dyDescent="0.25">
      <c r="A467" s="140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7.399999999999999" x14ac:dyDescent="0.25">
      <c r="A468" s="140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7.399999999999999" x14ac:dyDescent="0.25">
      <c r="A469" s="140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7.399999999999999" x14ac:dyDescent="0.25">
      <c r="A470" s="140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7.399999999999999" x14ac:dyDescent="0.25">
      <c r="A471" s="140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7.399999999999999" x14ac:dyDescent="0.25">
      <c r="A472" s="140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7.399999999999999" x14ac:dyDescent="0.25">
      <c r="A473" s="140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7.399999999999999" x14ac:dyDescent="0.25">
      <c r="A474" s="140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7.399999999999999" x14ac:dyDescent="0.25">
      <c r="A475" s="140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7.399999999999999" x14ac:dyDescent="0.25">
      <c r="A476" s="140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7.399999999999999" x14ac:dyDescent="0.25">
      <c r="A477" s="140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7.399999999999999" x14ac:dyDescent="0.25">
      <c r="A478" s="140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7.399999999999999" x14ac:dyDescent="0.25">
      <c r="A479" s="140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7.399999999999999" x14ac:dyDescent="0.25">
      <c r="A480" s="140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7.399999999999999" x14ac:dyDescent="0.25">
      <c r="A481" s="140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7.399999999999999" x14ac:dyDescent="0.25">
      <c r="A482" s="140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7.399999999999999" x14ac:dyDescent="0.25">
      <c r="A483" s="140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7.399999999999999" x14ac:dyDescent="0.25">
      <c r="A484" s="140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7.399999999999999" x14ac:dyDescent="0.25">
      <c r="A485" s="140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7.399999999999999" x14ac:dyDescent="0.25">
      <c r="A486" s="140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7.399999999999999" x14ac:dyDescent="0.25">
      <c r="A487" s="140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7.399999999999999" x14ac:dyDescent="0.25">
      <c r="A488" s="140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7.399999999999999" x14ac:dyDescent="0.25">
      <c r="A489" s="140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7.399999999999999" x14ac:dyDescent="0.25">
      <c r="A490" s="140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7.399999999999999" x14ac:dyDescent="0.25">
      <c r="A491" s="140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7.399999999999999" x14ac:dyDescent="0.25">
      <c r="A492" s="140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7.399999999999999" x14ac:dyDescent="0.25">
      <c r="A493" s="140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7.399999999999999" x14ac:dyDescent="0.25">
      <c r="A494" s="140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7.399999999999999" x14ac:dyDescent="0.25">
      <c r="A495" s="140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7.399999999999999" x14ac:dyDescent="0.25">
      <c r="A496" s="140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7.399999999999999" x14ac:dyDescent="0.25">
      <c r="A497" s="140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7.399999999999999" x14ac:dyDescent="0.25">
      <c r="A498" s="140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7.399999999999999" x14ac:dyDescent="0.25">
      <c r="A499" s="140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7.399999999999999" x14ac:dyDescent="0.25">
      <c r="A500" s="140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7.399999999999999" x14ac:dyDescent="0.25">
      <c r="A501" s="140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7.399999999999999" x14ac:dyDescent="0.25">
      <c r="A502" s="140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7.399999999999999" x14ac:dyDescent="0.25">
      <c r="A503" s="140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7.399999999999999" x14ac:dyDescent="0.25">
      <c r="A504" s="140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7.399999999999999" x14ac:dyDescent="0.25">
      <c r="A505" s="140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7.399999999999999" x14ac:dyDescent="0.25">
      <c r="A506" s="140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7.399999999999999" x14ac:dyDescent="0.25">
      <c r="A507" s="140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7.399999999999999" x14ac:dyDescent="0.25">
      <c r="A508" s="140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7.399999999999999" x14ac:dyDescent="0.25">
      <c r="A509" s="140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7.399999999999999" x14ac:dyDescent="0.25">
      <c r="A510" s="140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7.399999999999999" x14ac:dyDescent="0.25">
      <c r="A511" s="140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7.399999999999999" x14ac:dyDescent="0.25">
      <c r="A512" s="140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7.399999999999999" x14ac:dyDescent="0.25">
      <c r="A513" s="140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7.399999999999999" x14ac:dyDescent="0.25">
      <c r="A514" s="140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7.399999999999999" x14ac:dyDescent="0.25">
      <c r="A515" s="140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7.399999999999999" x14ac:dyDescent="0.25">
      <c r="A516" s="140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7.399999999999999" x14ac:dyDescent="0.25">
      <c r="A517" s="140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7.399999999999999" x14ac:dyDescent="0.25">
      <c r="A518" s="140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7.399999999999999" x14ac:dyDescent="0.25">
      <c r="A519" s="140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7.399999999999999" x14ac:dyDescent="0.25">
      <c r="A520" s="140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7.399999999999999" x14ac:dyDescent="0.25">
      <c r="A521" s="140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7.399999999999999" x14ac:dyDescent="0.25">
      <c r="A522" s="140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7.399999999999999" x14ac:dyDescent="0.25">
      <c r="A523" s="140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7.399999999999999" x14ac:dyDescent="0.25">
      <c r="A524" s="140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7.399999999999999" x14ac:dyDescent="0.25">
      <c r="A525" s="140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7.399999999999999" x14ac:dyDescent="0.25">
      <c r="A526" s="140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7.399999999999999" x14ac:dyDescent="0.25">
      <c r="A527" s="140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7.399999999999999" x14ac:dyDescent="0.25">
      <c r="A528" s="140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7.399999999999999" x14ac:dyDescent="0.25">
      <c r="A529" s="140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7.399999999999999" x14ac:dyDescent="0.25">
      <c r="A530" s="140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7.399999999999999" x14ac:dyDescent="0.25">
      <c r="A531" s="140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7.399999999999999" x14ac:dyDescent="0.25">
      <c r="A532" s="140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7.399999999999999" x14ac:dyDescent="0.25">
      <c r="A533" s="140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7.399999999999999" x14ac:dyDescent="0.25">
      <c r="A534" s="140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7.399999999999999" x14ac:dyDescent="0.25">
      <c r="A535" s="140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7.399999999999999" x14ac:dyDescent="0.25">
      <c r="A536" s="140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7.399999999999999" x14ac:dyDescent="0.25">
      <c r="A537" s="140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7.399999999999999" x14ac:dyDescent="0.25">
      <c r="A538" s="140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7.399999999999999" x14ac:dyDescent="0.25">
      <c r="A539" s="140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7.399999999999999" x14ac:dyDescent="0.25">
      <c r="A540" s="140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7.399999999999999" x14ac:dyDescent="0.25">
      <c r="A541" s="140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7.399999999999999" x14ac:dyDescent="0.25">
      <c r="A542" s="140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7.399999999999999" x14ac:dyDescent="0.25">
      <c r="A543" s="140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7.399999999999999" x14ac:dyDescent="0.25">
      <c r="A544" s="140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7.399999999999999" x14ac:dyDescent="0.25">
      <c r="A545" s="140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7.399999999999999" x14ac:dyDescent="0.25">
      <c r="A546" s="140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7.399999999999999" x14ac:dyDescent="0.25">
      <c r="A547" s="140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7.399999999999999" x14ac:dyDescent="0.25">
      <c r="A548" s="140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7.399999999999999" x14ac:dyDescent="0.25">
      <c r="A549" s="140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7.399999999999999" x14ac:dyDescent="0.25">
      <c r="A550" s="140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7.399999999999999" x14ac:dyDescent="0.25">
      <c r="A551" s="140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7.399999999999999" x14ac:dyDescent="0.25">
      <c r="A552" s="140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7.399999999999999" x14ac:dyDescent="0.25">
      <c r="A553" s="140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7.399999999999999" x14ac:dyDescent="0.25">
      <c r="A554" s="140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7.399999999999999" x14ac:dyDescent="0.25">
      <c r="A555" s="140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7.399999999999999" x14ac:dyDescent="0.25">
      <c r="A556" s="140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7.399999999999999" x14ac:dyDescent="0.25">
      <c r="A557" s="140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7.399999999999999" x14ac:dyDescent="0.25">
      <c r="A558" s="140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7.399999999999999" x14ac:dyDescent="0.25">
      <c r="A559" s="140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7.399999999999999" x14ac:dyDescent="0.25">
      <c r="A560" s="140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7.399999999999999" x14ac:dyDescent="0.25">
      <c r="A561" s="140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7.399999999999999" x14ac:dyDescent="0.25">
      <c r="A562" s="140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7.399999999999999" x14ac:dyDescent="0.25">
      <c r="A563" s="140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7.399999999999999" x14ac:dyDescent="0.25">
      <c r="A564" s="140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7.399999999999999" x14ac:dyDescent="0.25">
      <c r="A565" s="140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7.399999999999999" x14ac:dyDescent="0.25">
      <c r="A566" s="140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7.399999999999999" x14ac:dyDescent="0.25">
      <c r="A567" s="140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7.399999999999999" x14ac:dyDescent="0.25">
      <c r="A568" s="140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7.399999999999999" x14ac:dyDescent="0.25">
      <c r="A569" s="140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7.399999999999999" x14ac:dyDescent="0.25">
      <c r="A570" s="140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7.399999999999999" x14ac:dyDescent="0.25">
      <c r="A571" s="140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7.399999999999999" x14ac:dyDescent="0.25">
      <c r="A572" s="140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7.399999999999999" x14ac:dyDescent="0.25">
      <c r="A573" s="140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7.399999999999999" x14ac:dyDescent="0.25">
      <c r="A574" s="140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7.399999999999999" x14ac:dyDescent="0.25">
      <c r="A575" s="140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7.399999999999999" x14ac:dyDescent="0.25">
      <c r="A576" s="140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7.399999999999999" x14ac:dyDescent="0.25">
      <c r="A577" s="140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7.399999999999999" x14ac:dyDescent="0.25">
      <c r="A578" s="140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7.399999999999999" x14ac:dyDescent="0.25">
      <c r="A579" s="140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7.399999999999999" x14ac:dyDescent="0.25">
      <c r="A580" s="140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7.399999999999999" x14ac:dyDescent="0.25">
      <c r="A581" s="140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7.399999999999999" x14ac:dyDescent="0.25">
      <c r="A582" s="140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7.399999999999999" x14ac:dyDescent="0.25">
      <c r="A583" s="140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7.399999999999999" x14ac:dyDescent="0.25">
      <c r="A584" s="140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7.399999999999999" x14ac:dyDescent="0.25">
      <c r="A585" s="140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7.399999999999999" x14ac:dyDescent="0.25">
      <c r="A586" s="140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7.399999999999999" x14ac:dyDescent="0.25">
      <c r="A587" s="140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7.399999999999999" x14ac:dyDescent="0.25">
      <c r="A588" s="140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7.399999999999999" x14ac:dyDescent="0.25">
      <c r="A589" s="140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7.399999999999999" x14ac:dyDescent="0.25">
      <c r="A590" s="140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7.399999999999999" x14ac:dyDescent="0.25">
      <c r="A591" s="140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7.399999999999999" x14ac:dyDescent="0.25">
      <c r="A592" s="140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7.399999999999999" x14ac:dyDescent="0.25">
      <c r="A593" s="140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7.399999999999999" x14ac:dyDescent="0.25">
      <c r="A594" s="140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7.399999999999999" x14ac:dyDescent="0.25">
      <c r="A595" s="140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7.399999999999999" x14ac:dyDescent="0.25">
      <c r="A596" s="140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7.399999999999999" x14ac:dyDescent="0.25">
      <c r="A597" s="140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7.399999999999999" x14ac:dyDescent="0.25">
      <c r="A598" s="140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7.399999999999999" x14ac:dyDescent="0.25">
      <c r="A599" s="140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7.399999999999999" x14ac:dyDescent="0.25">
      <c r="A600" s="140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7.399999999999999" x14ac:dyDescent="0.25">
      <c r="A601" s="140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7.399999999999999" x14ac:dyDescent="0.25">
      <c r="A602" s="140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7.399999999999999" x14ac:dyDescent="0.25">
      <c r="A603" s="140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7.399999999999999" x14ac:dyDescent="0.25">
      <c r="A604" s="140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7.399999999999999" x14ac:dyDescent="0.25">
      <c r="A605" s="140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7.399999999999999" x14ac:dyDescent="0.25">
      <c r="A606" s="140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7.399999999999999" x14ac:dyDescent="0.25">
      <c r="A607" s="140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7.399999999999999" x14ac:dyDescent="0.25">
      <c r="A608" s="140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7.399999999999999" x14ac:dyDescent="0.25">
      <c r="A609" s="140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7.399999999999999" x14ac:dyDescent="0.25">
      <c r="A610" s="140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7.399999999999999" x14ac:dyDescent="0.25">
      <c r="A611" s="140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7.399999999999999" x14ac:dyDescent="0.25">
      <c r="A612" s="140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7.399999999999999" x14ac:dyDescent="0.25">
      <c r="A613" s="140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7.399999999999999" x14ac:dyDescent="0.25">
      <c r="A614" s="140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7.399999999999999" x14ac:dyDescent="0.25">
      <c r="A615" s="140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7.399999999999999" x14ac:dyDescent="0.25">
      <c r="A616" s="140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7.399999999999999" x14ac:dyDescent="0.25">
      <c r="A617" s="140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7.399999999999999" x14ac:dyDescent="0.25">
      <c r="A618" s="140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7.399999999999999" x14ac:dyDescent="0.25">
      <c r="A619" s="140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7.399999999999999" x14ac:dyDescent="0.25">
      <c r="A620" s="140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7.399999999999999" x14ac:dyDescent="0.25">
      <c r="A621" s="140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7.399999999999999" x14ac:dyDescent="0.25">
      <c r="A622" s="140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7.399999999999999" x14ac:dyDescent="0.25">
      <c r="A623" s="140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7.399999999999999" x14ac:dyDescent="0.25">
      <c r="A624" s="140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7.399999999999999" x14ac:dyDescent="0.25">
      <c r="A625" s="140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7.399999999999999" x14ac:dyDescent="0.25">
      <c r="A626" s="140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7.399999999999999" x14ac:dyDescent="0.25">
      <c r="A627" s="140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7.399999999999999" x14ac:dyDescent="0.25">
      <c r="A628" s="140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7.399999999999999" x14ac:dyDescent="0.25">
      <c r="A629" s="140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7.399999999999999" x14ac:dyDescent="0.25">
      <c r="A630" s="140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7.399999999999999" x14ac:dyDescent="0.25">
      <c r="A631" s="140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7.399999999999999" x14ac:dyDescent="0.25">
      <c r="A632" s="140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7.399999999999999" x14ac:dyDescent="0.25">
      <c r="A633" s="140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7.399999999999999" x14ac:dyDescent="0.25">
      <c r="A634" s="140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7.399999999999999" x14ac:dyDescent="0.25">
      <c r="A635" s="140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7.399999999999999" x14ac:dyDescent="0.25">
      <c r="A636" s="140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7.399999999999999" x14ac:dyDescent="0.25">
      <c r="A637" s="140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7.399999999999999" x14ac:dyDescent="0.25">
      <c r="A638" s="140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7.399999999999999" x14ac:dyDescent="0.25">
      <c r="A639" s="140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7.399999999999999" x14ac:dyDescent="0.25">
      <c r="A640" s="140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7.399999999999999" x14ac:dyDescent="0.25">
      <c r="A641" s="140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7.399999999999999" x14ac:dyDescent="0.25">
      <c r="A642" s="140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7.399999999999999" x14ac:dyDescent="0.25">
      <c r="A643" s="140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7.399999999999999" x14ac:dyDescent="0.25">
      <c r="A644" s="140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7.399999999999999" x14ac:dyDescent="0.25">
      <c r="A645" s="140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7.399999999999999" x14ac:dyDescent="0.25">
      <c r="A646" s="140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7.399999999999999" x14ac:dyDescent="0.25">
      <c r="A647" s="140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7.399999999999999" x14ac:dyDescent="0.25">
      <c r="A648" s="140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7.399999999999999" x14ac:dyDescent="0.25">
      <c r="A649" s="140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7.399999999999999" x14ac:dyDescent="0.25">
      <c r="A650" s="140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7.399999999999999" x14ac:dyDescent="0.25">
      <c r="A651" s="140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7.399999999999999" x14ac:dyDescent="0.25">
      <c r="A652" s="140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7.399999999999999" x14ac:dyDescent="0.25">
      <c r="A653" s="140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7.399999999999999" x14ac:dyDescent="0.25">
      <c r="A654" s="140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7.399999999999999" x14ac:dyDescent="0.25">
      <c r="A655" s="140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7.399999999999999" x14ac:dyDescent="0.25">
      <c r="A656" s="140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7.399999999999999" x14ac:dyDescent="0.25">
      <c r="A657" s="140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7.399999999999999" x14ac:dyDescent="0.25">
      <c r="A658" s="140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7.399999999999999" x14ac:dyDescent="0.25">
      <c r="A659" s="140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7.399999999999999" x14ac:dyDescent="0.25">
      <c r="A660" s="140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7.399999999999999" x14ac:dyDescent="0.25">
      <c r="A661" s="140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7.399999999999999" x14ac:dyDescent="0.25">
      <c r="A662" s="140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7.399999999999999" x14ac:dyDescent="0.25">
      <c r="A663" s="140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7.399999999999999" x14ac:dyDescent="0.25">
      <c r="A664" s="140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7.399999999999999" x14ac:dyDescent="0.25">
      <c r="A665" s="140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7.399999999999999" x14ac:dyDescent="0.25">
      <c r="A666" s="140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7.399999999999999" x14ac:dyDescent="0.25">
      <c r="A667" s="140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7.399999999999999" x14ac:dyDescent="0.25">
      <c r="A668" s="140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7.399999999999999" x14ac:dyDescent="0.25">
      <c r="A669" s="140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7.399999999999999" x14ac:dyDescent="0.25">
      <c r="A670" s="140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7.399999999999999" x14ac:dyDescent="0.25">
      <c r="A671" s="140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7.399999999999999" x14ac:dyDescent="0.25">
      <c r="A672" s="140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7.399999999999999" x14ac:dyDescent="0.25">
      <c r="A673" s="140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7.399999999999999" x14ac:dyDescent="0.25">
      <c r="A674" s="140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7.399999999999999" x14ac:dyDescent="0.25">
      <c r="A675" s="140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7.399999999999999" x14ac:dyDescent="0.25">
      <c r="A676" s="140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7.399999999999999" x14ac:dyDescent="0.25">
      <c r="A677" s="140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7.399999999999999" x14ac:dyDescent="0.25">
      <c r="A678" s="140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7.399999999999999" x14ac:dyDescent="0.25">
      <c r="A679" s="140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7.399999999999999" x14ac:dyDescent="0.25">
      <c r="A680" s="140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7.399999999999999" x14ac:dyDescent="0.25">
      <c r="A681" s="140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7.399999999999999" x14ac:dyDescent="0.25">
      <c r="A682" s="140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7.399999999999999" x14ac:dyDescent="0.25">
      <c r="A683" s="140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7.399999999999999" x14ac:dyDescent="0.25">
      <c r="A684" s="140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7.399999999999999" x14ac:dyDescent="0.25">
      <c r="A685" s="140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7.399999999999999" x14ac:dyDescent="0.25">
      <c r="A686" s="140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7.399999999999999" x14ac:dyDescent="0.25">
      <c r="A687" s="140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7.399999999999999" x14ac:dyDescent="0.25">
      <c r="A688" s="140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7.399999999999999" x14ac:dyDescent="0.25">
      <c r="A689" s="140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7.399999999999999" x14ac:dyDescent="0.25">
      <c r="A690" s="140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7.399999999999999" x14ac:dyDescent="0.25">
      <c r="A691" s="140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7.399999999999999" x14ac:dyDescent="0.25">
      <c r="A692" s="140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7.399999999999999" x14ac:dyDescent="0.25">
      <c r="A693" s="140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7.399999999999999" x14ac:dyDescent="0.25">
      <c r="A694" s="140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7.399999999999999" x14ac:dyDescent="0.25">
      <c r="A695" s="140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7.399999999999999" x14ac:dyDescent="0.25">
      <c r="A696" s="140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7.399999999999999" x14ac:dyDescent="0.25">
      <c r="A697" s="140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7.399999999999999" x14ac:dyDescent="0.25">
      <c r="A698" s="140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7.399999999999999" x14ac:dyDescent="0.25">
      <c r="A699" s="140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7.399999999999999" x14ac:dyDescent="0.25">
      <c r="A700" s="140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7.399999999999999" x14ac:dyDescent="0.25">
      <c r="A701" s="140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7.399999999999999" x14ac:dyDescent="0.25">
      <c r="A702" s="140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7.399999999999999" x14ac:dyDescent="0.25">
      <c r="A703" s="140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7.399999999999999" x14ac:dyDescent="0.25">
      <c r="A704" s="140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7.399999999999999" x14ac:dyDescent="0.25">
      <c r="A705" s="140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7.399999999999999" x14ac:dyDescent="0.25">
      <c r="A706" s="140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7.399999999999999" x14ac:dyDescent="0.25">
      <c r="A707" s="140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7.399999999999999" x14ac:dyDescent="0.25">
      <c r="A708" s="140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7.399999999999999" x14ac:dyDescent="0.25">
      <c r="A709" s="140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7.399999999999999" x14ac:dyDescent="0.25">
      <c r="A710" s="140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7.399999999999999" x14ac:dyDescent="0.25">
      <c r="A711" s="140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7.399999999999999" x14ac:dyDescent="0.25">
      <c r="A712" s="140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7.399999999999999" x14ac:dyDescent="0.25">
      <c r="A713" s="140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7.399999999999999" x14ac:dyDescent="0.25">
      <c r="A714" s="140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7.399999999999999" x14ac:dyDescent="0.25">
      <c r="A715" s="140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7.399999999999999" x14ac:dyDescent="0.25">
      <c r="A716" s="140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7.399999999999999" x14ac:dyDescent="0.25">
      <c r="A717" s="140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7.399999999999999" x14ac:dyDescent="0.25">
      <c r="A718" s="140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7.399999999999999" x14ac:dyDescent="0.25">
      <c r="A719" s="140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7.399999999999999" x14ac:dyDescent="0.25">
      <c r="A720" s="140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7.399999999999999" x14ac:dyDescent="0.25">
      <c r="A721" s="140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7.399999999999999" x14ac:dyDescent="0.25">
      <c r="A722" s="140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7.399999999999999" x14ac:dyDescent="0.25">
      <c r="A723" s="140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7.399999999999999" x14ac:dyDescent="0.25">
      <c r="A724" s="140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7.399999999999999" x14ac:dyDescent="0.25">
      <c r="A725" s="140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7.399999999999999" x14ac:dyDescent="0.25">
      <c r="A726" s="140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7.399999999999999" x14ac:dyDescent="0.25">
      <c r="A727" s="140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7.399999999999999" x14ac:dyDescent="0.25">
      <c r="A728" s="140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7.399999999999999" x14ac:dyDescent="0.25">
      <c r="A729" s="140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7.399999999999999" x14ac:dyDescent="0.25">
      <c r="A730" s="140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7.399999999999999" x14ac:dyDescent="0.25">
      <c r="A731" s="140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7.399999999999999" x14ac:dyDescent="0.25">
      <c r="A732" s="140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7.399999999999999" x14ac:dyDescent="0.25">
      <c r="A733" s="140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7.399999999999999" x14ac:dyDescent="0.25">
      <c r="A734" s="140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7.399999999999999" x14ac:dyDescent="0.25">
      <c r="A735" s="140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7.399999999999999" x14ac:dyDescent="0.25">
      <c r="A736" s="140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7.399999999999999" x14ac:dyDescent="0.25">
      <c r="A737" s="140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7.399999999999999" x14ac:dyDescent="0.25">
      <c r="A738" s="140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7.399999999999999" x14ac:dyDescent="0.25">
      <c r="A739" s="140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7.399999999999999" x14ac:dyDescent="0.25">
      <c r="A740" s="140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7.399999999999999" x14ac:dyDescent="0.25">
      <c r="A741" s="140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7.399999999999999" x14ac:dyDescent="0.25">
      <c r="A742" s="140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7.399999999999999" x14ac:dyDescent="0.25">
      <c r="A743" s="140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7.399999999999999" x14ac:dyDescent="0.25">
      <c r="A744" s="140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7.399999999999999" x14ac:dyDescent="0.25">
      <c r="A745" s="140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7.399999999999999" x14ac:dyDescent="0.25">
      <c r="A746" s="140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7.399999999999999" x14ac:dyDescent="0.25">
      <c r="A747" s="140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7.399999999999999" x14ac:dyDescent="0.25">
      <c r="A748" s="140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7.399999999999999" x14ac:dyDescent="0.25">
      <c r="A749" s="140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7.399999999999999" x14ac:dyDescent="0.25">
      <c r="A750" s="140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7.399999999999999" x14ac:dyDescent="0.25">
      <c r="A751" s="140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7.399999999999999" x14ac:dyDescent="0.25">
      <c r="A752" s="140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7.399999999999999" x14ac:dyDescent="0.25">
      <c r="A753" s="140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7.399999999999999" x14ac:dyDescent="0.25">
      <c r="A754" s="140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7.399999999999999" x14ac:dyDescent="0.25">
      <c r="A755" s="140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7.399999999999999" x14ac:dyDescent="0.25">
      <c r="A756" s="140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7.399999999999999" x14ac:dyDescent="0.25">
      <c r="A757" s="140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7.399999999999999" x14ac:dyDescent="0.25">
      <c r="A758" s="140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7.399999999999999" x14ac:dyDescent="0.25">
      <c r="A759" s="140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7.399999999999999" x14ac:dyDescent="0.25">
      <c r="A760" s="140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7.399999999999999" x14ac:dyDescent="0.25">
      <c r="A761" s="140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7.399999999999999" x14ac:dyDescent="0.25">
      <c r="A762" s="140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7.399999999999999" x14ac:dyDescent="0.25">
      <c r="A763" s="140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7.399999999999999" x14ac:dyDescent="0.25">
      <c r="A764" s="140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7.399999999999999" x14ac:dyDescent="0.25">
      <c r="A765" s="140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7.399999999999999" x14ac:dyDescent="0.25">
      <c r="A766" s="140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7.399999999999999" x14ac:dyDescent="0.25">
      <c r="A767" s="140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7.399999999999999" x14ac:dyDescent="0.25">
      <c r="A768" s="140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7.399999999999999" x14ac:dyDescent="0.25">
      <c r="A769" s="140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7.399999999999999" x14ac:dyDescent="0.25">
      <c r="A770" s="140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7.399999999999999" x14ac:dyDescent="0.25">
      <c r="A771" s="140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7.399999999999999" x14ac:dyDescent="0.25">
      <c r="A772" s="140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7.399999999999999" x14ac:dyDescent="0.25">
      <c r="A773" s="140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7.399999999999999" x14ac:dyDescent="0.25">
      <c r="A774" s="140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7.399999999999999" x14ac:dyDescent="0.25">
      <c r="A775" s="140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7.399999999999999" x14ac:dyDescent="0.25">
      <c r="A776" s="140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7.399999999999999" x14ac:dyDescent="0.25">
      <c r="A777" s="140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7.399999999999999" x14ac:dyDescent="0.25">
      <c r="A778" s="140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7.399999999999999" x14ac:dyDescent="0.25">
      <c r="A779" s="140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7.399999999999999" x14ac:dyDescent="0.25">
      <c r="A780" s="140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7.399999999999999" x14ac:dyDescent="0.25">
      <c r="A781" s="140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7.399999999999999" x14ac:dyDescent="0.25">
      <c r="A782" s="140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7.399999999999999" x14ac:dyDescent="0.25">
      <c r="A783" s="140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7.399999999999999" x14ac:dyDescent="0.25">
      <c r="A784" s="140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7.399999999999999" x14ac:dyDescent="0.25">
      <c r="A785" s="140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7.399999999999999" x14ac:dyDescent="0.25">
      <c r="A786" s="140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7.399999999999999" x14ac:dyDescent="0.25">
      <c r="A787" s="140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7.399999999999999" x14ac:dyDescent="0.25">
      <c r="A788" s="140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7.399999999999999" x14ac:dyDescent="0.25">
      <c r="A789" s="140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7.399999999999999" x14ac:dyDescent="0.25">
      <c r="A790" s="140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7.399999999999999" x14ac:dyDescent="0.25">
      <c r="A791" s="140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7.399999999999999" x14ac:dyDescent="0.25">
      <c r="A792" s="140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7.399999999999999" x14ac:dyDescent="0.25">
      <c r="A793" s="140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7.399999999999999" x14ac:dyDescent="0.25">
      <c r="A794" s="140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7.399999999999999" x14ac:dyDescent="0.25">
      <c r="A795" s="140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7.399999999999999" x14ac:dyDescent="0.25">
      <c r="A796" s="140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7.399999999999999" x14ac:dyDescent="0.25">
      <c r="A797" s="140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7.399999999999999" x14ac:dyDescent="0.25">
      <c r="A798" s="140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7.399999999999999" x14ac:dyDescent="0.25">
      <c r="A799" s="140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7.399999999999999" x14ac:dyDescent="0.25">
      <c r="A800" s="140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7.399999999999999" x14ac:dyDescent="0.25">
      <c r="A801" s="140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7.399999999999999" x14ac:dyDescent="0.25">
      <c r="A802" s="140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7.399999999999999" x14ac:dyDescent="0.25">
      <c r="A803" s="140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7.399999999999999" x14ac:dyDescent="0.25">
      <c r="A804" s="140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7.399999999999999" x14ac:dyDescent="0.25">
      <c r="A805" s="140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7.399999999999999" x14ac:dyDescent="0.25">
      <c r="A806" s="140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7.399999999999999" x14ac:dyDescent="0.25">
      <c r="A807" s="140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7.399999999999999" x14ac:dyDescent="0.25">
      <c r="A808" s="140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7.399999999999999" x14ac:dyDescent="0.25">
      <c r="A809" s="140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7.399999999999999" x14ac:dyDescent="0.25">
      <c r="A810" s="140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7.399999999999999" x14ac:dyDescent="0.25">
      <c r="A811" s="140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7.399999999999999" x14ac:dyDescent="0.25">
      <c r="A812" s="140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7.399999999999999" x14ac:dyDescent="0.25">
      <c r="A813" s="140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7.399999999999999" x14ac:dyDescent="0.25">
      <c r="A814" s="140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7.399999999999999" x14ac:dyDescent="0.25">
      <c r="A815" s="140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7.399999999999999" x14ac:dyDescent="0.25">
      <c r="A816" s="140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7.399999999999999" x14ac:dyDescent="0.25">
      <c r="A817" s="140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7.399999999999999" x14ac:dyDescent="0.25">
      <c r="A818" s="140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7.399999999999999" x14ac:dyDescent="0.25">
      <c r="A819" s="140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7.399999999999999" x14ac:dyDescent="0.25">
      <c r="A820" s="140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7.399999999999999" x14ac:dyDescent="0.25">
      <c r="A821" s="140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7.399999999999999" x14ac:dyDescent="0.25">
      <c r="A822" s="140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7.399999999999999" x14ac:dyDescent="0.25">
      <c r="A823" s="140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7.399999999999999" x14ac:dyDescent="0.25">
      <c r="A824" s="140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7.399999999999999" x14ac:dyDescent="0.25">
      <c r="A825" s="140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7.399999999999999" x14ac:dyDescent="0.25">
      <c r="A826" s="140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7.399999999999999" x14ac:dyDescent="0.25">
      <c r="A827" s="140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7.399999999999999" x14ac:dyDescent="0.25">
      <c r="A828" s="140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7.399999999999999" x14ac:dyDescent="0.25">
      <c r="A829" s="140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7.399999999999999" x14ac:dyDescent="0.25">
      <c r="A830" s="140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7.399999999999999" x14ac:dyDescent="0.25">
      <c r="A831" s="140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7.399999999999999" x14ac:dyDescent="0.25">
      <c r="A832" s="140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7.399999999999999" x14ac:dyDescent="0.25">
      <c r="A833" s="140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7.399999999999999" x14ac:dyDescent="0.25">
      <c r="A834" s="140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7.399999999999999" x14ac:dyDescent="0.25">
      <c r="A835" s="140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7.399999999999999" x14ac:dyDescent="0.25">
      <c r="A836" s="140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7.399999999999999" x14ac:dyDescent="0.25">
      <c r="A837" s="140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7.399999999999999" x14ac:dyDescent="0.25">
      <c r="A838" s="140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7.399999999999999" x14ac:dyDescent="0.25">
      <c r="A839" s="140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7.399999999999999" x14ac:dyDescent="0.25">
      <c r="A840" s="140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7.399999999999999" x14ac:dyDescent="0.25">
      <c r="A841" s="140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7.399999999999999" x14ac:dyDescent="0.25">
      <c r="A842" s="140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7.399999999999999" x14ac:dyDescent="0.25">
      <c r="A843" s="140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7.399999999999999" x14ac:dyDescent="0.25">
      <c r="A844" s="140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7.399999999999999" x14ac:dyDescent="0.25">
      <c r="A845" s="140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7.399999999999999" x14ac:dyDescent="0.25">
      <c r="A846" s="140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7.399999999999999" x14ac:dyDescent="0.25">
      <c r="A847" s="140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7.399999999999999" x14ac:dyDescent="0.25">
      <c r="A848" s="140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7.399999999999999" x14ac:dyDescent="0.25">
      <c r="A849" s="140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7.399999999999999" x14ac:dyDescent="0.25">
      <c r="A850" s="140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7.399999999999999" x14ac:dyDescent="0.25">
      <c r="A851" s="140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7.399999999999999" x14ac:dyDescent="0.25">
      <c r="A852" s="140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7.399999999999999" x14ac:dyDescent="0.25">
      <c r="A853" s="140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7.399999999999999" x14ac:dyDescent="0.25">
      <c r="A854" s="140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7.399999999999999" x14ac:dyDescent="0.25">
      <c r="A855" s="140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7.399999999999999" x14ac:dyDescent="0.25">
      <c r="A856" s="140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7.399999999999999" x14ac:dyDescent="0.25">
      <c r="A857" s="140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7.399999999999999" x14ac:dyDescent="0.25">
      <c r="A858" s="140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7.399999999999999" x14ac:dyDescent="0.25">
      <c r="A859" s="140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7.399999999999999" x14ac:dyDescent="0.25">
      <c r="A860" s="140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7.399999999999999" x14ac:dyDescent="0.25">
      <c r="A861" s="140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7.399999999999999" x14ac:dyDescent="0.25">
      <c r="A862" s="140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7.399999999999999" x14ac:dyDescent="0.25">
      <c r="A863" s="140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7.399999999999999" x14ac:dyDescent="0.25">
      <c r="A864" s="140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7.399999999999999" x14ac:dyDescent="0.25">
      <c r="A865" s="140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7.399999999999999" x14ac:dyDescent="0.25">
      <c r="A866" s="140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7.399999999999999" x14ac:dyDescent="0.25">
      <c r="A867" s="140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7.399999999999999" x14ac:dyDescent="0.25">
      <c r="A868" s="140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7.399999999999999" x14ac:dyDescent="0.25">
      <c r="A869" s="140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7.399999999999999" x14ac:dyDescent="0.25">
      <c r="A870" s="140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7.399999999999999" x14ac:dyDescent="0.25">
      <c r="A871" s="140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7.399999999999999" x14ac:dyDescent="0.25">
      <c r="A872" s="140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7.399999999999999" x14ac:dyDescent="0.25">
      <c r="A873" s="140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7.399999999999999" x14ac:dyDescent="0.25">
      <c r="A874" s="140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7.399999999999999" x14ac:dyDescent="0.25">
      <c r="A875" s="140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7.399999999999999" x14ac:dyDescent="0.25">
      <c r="A876" s="140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7.399999999999999" x14ac:dyDescent="0.25">
      <c r="A877" s="140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7.399999999999999" x14ac:dyDescent="0.25">
      <c r="A878" s="140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7.399999999999999" x14ac:dyDescent="0.25">
      <c r="A879" s="140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7.399999999999999" x14ac:dyDescent="0.25">
      <c r="A880" s="140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7.399999999999999" x14ac:dyDescent="0.25">
      <c r="A881" s="140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7.399999999999999" x14ac:dyDescent="0.25">
      <c r="A882" s="140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7.399999999999999" x14ac:dyDescent="0.25">
      <c r="A883" s="140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7.399999999999999" x14ac:dyDescent="0.25">
      <c r="A884" s="140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7.399999999999999" x14ac:dyDescent="0.25">
      <c r="A885" s="140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7.399999999999999" x14ac:dyDescent="0.25">
      <c r="A886" s="140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7.399999999999999" x14ac:dyDescent="0.25">
      <c r="A887" s="140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7.399999999999999" x14ac:dyDescent="0.25">
      <c r="A888" s="140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7.399999999999999" x14ac:dyDescent="0.25">
      <c r="A889" s="140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7.399999999999999" x14ac:dyDescent="0.25">
      <c r="A890" s="140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7.399999999999999" x14ac:dyDescent="0.25">
      <c r="A891" s="140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7.399999999999999" x14ac:dyDescent="0.25">
      <c r="A892" s="140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7.399999999999999" x14ac:dyDescent="0.25">
      <c r="A893" s="140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7.399999999999999" x14ac:dyDescent="0.25">
      <c r="A894" s="140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7.399999999999999" x14ac:dyDescent="0.25">
      <c r="A895" s="140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7.399999999999999" x14ac:dyDescent="0.25">
      <c r="A896" s="140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7.399999999999999" x14ac:dyDescent="0.25">
      <c r="A897" s="140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7.399999999999999" x14ac:dyDescent="0.25">
      <c r="A898" s="140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7.399999999999999" x14ac:dyDescent="0.25">
      <c r="A899" s="140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7.399999999999999" x14ac:dyDescent="0.25">
      <c r="A900" s="140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7.399999999999999" x14ac:dyDescent="0.25">
      <c r="A901" s="140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7.399999999999999" x14ac:dyDescent="0.25">
      <c r="A902" s="140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7.399999999999999" x14ac:dyDescent="0.25">
      <c r="A903" s="140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7.399999999999999" x14ac:dyDescent="0.25">
      <c r="A904" s="140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7.399999999999999" x14ac:dyDescent="0.25">
      <c r="A905" s="140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7.399999999999999" x14ac:dyDescent="0.25">
      <c r="A906" s="140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7.399999999999999" x14ac:dyDescent="0.25">
      <c r="A907" s="140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7.399999999999999" x14ac:dyDescent="0.25">
      <c r="A908" s="140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7.399999999999999" x14ac:dyDescent="0.25">
      <c r="A909" s="140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7.399999999999999" x14ac:dyDescent="0.25">
      <c r="A910" s="140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7.399999999999999" x14ac:dyDescent="0.25">
      <c r="A911" s="140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7.399999999999999" x14ac:dyDescent="0.25">
      <c r="A912" s="140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7.399999999999999" x14ac:dyDescent="0.25">
      <c r="A913" s="140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7.399999999999999" x14ac:dyDescent="0.25">
      <c r="A914" s="140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7.399999999999999" x14ac:dyDescent="0.25">
      <c r="A915" s="140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7.399999999999999" x14ac:dyDescent="0.25">
      <c r="A916" s="140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7.399999999999999" x14ac:dyDescent="0.25">
      <c r="A917" s="140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7.399999999999999" x14ac:dyDescent="0.25">
      <c r="A918" s="140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7.399999999999999" x14ac:dyDescent="0.25">
      <c r="A919" s="140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7.399999999999999" x14ac:dyDescent="0.25">
      <c r="A920" s="140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7.399999999999999" x14ac:dyDescent="0.25">
      <c r="A921" s="140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7.399999999999999" x14ac:dyDescent="0.25">
      <c r="A922" s="140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7.399999999999999" x14ac:dyDescent="0.25">
      <c r="A923" s="140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7.399999999999999" x14ac:dyDescent="0.25">
      <c r="A924" s="140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7.399999999999999" x14ac:dyDescent="0.25">
      <c r="A925" s="140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7.399999999999999" x14ac:dyDescent="0.25">
      <c r="A926" s="140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7.399999999999999" x14ac:dyDescent="0.25">
      <c r="A927" s="140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7.399999999999999" x14ac:dyDescent="0.25">
      <c r="A928" s="140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7.399999999999999" x14ac:dyDescent="0.25">
      <c r="A929" s="140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7.399999999999999" x14ac:dyDescent="0.25">
      <c r="A930" s="140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7.399999999999999" x14ac:dyDescent="0.25">
      <c r="A931" s="140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7.399999999999999" x14ac:dyDescent="0.25">
      <c r="A932" s="140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7.399999999999999" x14ac:dyDescent="0.25">
      <c r="A933" s="140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7.399999999999999" x14ac:dyDescent="0.25">
      <c r="A934" s="140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7.399999999999999" x14ac:dyDescent="0.25">
      <c r="A935" s="140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7.399999999999999" x14ac:dyDescent="0.25">
      <c r="A936" s="140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7.399999999999999" x14ac:dyDescent="0.25">
      <c r="A937" s="140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7.399999999999999" x14ac:dyDescent="0.25">
      <c r="A938" s="140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7.399999999999999" x14ac:dyDescent="0.25">
      <c r="A939" s="140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7.399999999999999" x14ac:dyDescent="0.25">
      <c r="A940" s="140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7.399999999999999" x14ac:dyDescent="0.25">
      <c r="A941" s="140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7.399999999999999" x14ac:dyDescent="0.25">
      <c r="A942" s="140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7.399999999999999" x14ac:dyDescent="0.25">
      <c r="A943" s="140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7.399999999999999" x14ac:dyDescent="0.25">
      <c r="A944" s="140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7.399999999999999" x14ac:dyDescent="0.25">
      <c r="A945" s="140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7.399999999999999" x14ac:dyDescent="0.25">
      <c r="A946" s="140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7.399999999999999" x14ac:dyDescent="0.25">
      <c r="A947" s="140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7.399999999999999" x14ac:dyDescent="0.25">
      <c r="A948" s="140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7.399999999999999" x14ac:dyDescent="0.25">
      <c r="A949" s="140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7.399999999999999" x14ac:dyDescent="0.25">
      <c r="A950" s="140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7.399999999999999" x14ac:dyDescent="0.25">
      <c r="A951" s="140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7.399999999999999" x14ac:dyDescent="0.25">
      <c r="A952" s="140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7.399999999999999" x14ac:dyDescent="0.25">
      <c r="A953" s="140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7.399999999999999" x14ac:dyDescent="0.25">
      <c r="A954" s="140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7.399999999999999" x14ac:dyDescent="0.25">
      <c r="A955" s="140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7.399999999999999" x14ac:dyDescent="0.25">
      <c r="A956" s="140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7.399999999999999" x14ac:dyDescent="0.25">
      <c r="A957" s="140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7.399999999999999" x14ac:dyDescent="0.25">
      <c r="A958" s="140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7.399999999999999" x14ac:dyDescent="0.25">
      <c r="A959" s="140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7.399999999999999" x14ac:dyDescent="0.25">
      <c r="A960" s="140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7.399999999999999" x14ac:dyDescent="0.25">
      <c r="A961" s="140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7.399999999999999" x14ac:dyDescent="0.25">
      <c r="A962" s="140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7.399999999999999" x14ac:dyDescent="0.25">
      <c r="A963" s="140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7.399999999999999" x14ac:dyDescent="0.25">
      <c r="A964" s="140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7.399999999999999" x14ac:dyDescent="0.25">
      <c r="A965" s="140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7.399999999999999" x14ac:dyDescent="0.25">
      <c r="A966" s="140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7.399999999999999" x14ac:dyDescent="0.25">
      <c r="A967" s="140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7.399999999999999" x14ac:dyDescent="0.25">
      <c r="A968" s="140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7.399999999999999" x14ac:dyDescent="0.25">
      <c r="A969" s="140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7.399999999999999" x14ac:dyDescent="0.25">
      <c r="A970" s="140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7.399999999999999" x14ac:dyDescent="0.25">
      <c r="A971" s="140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7.399999999999999" x14ac:dyDescent="0.25">
      <c r="A972" s="140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7.399999999999999" x14ac:dyDescent="0.25">
      <c r="A973" s="140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7.399999999999999" x14ac:dyDescent="0.25">
      <c r="A974" s="140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7.399999999999999" x14ac:dyDescent="0.25">
      <c r="A975" s="140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7.399999999999999" x14ac:dyDescent="0.25">
      <c r="A976" s="140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7.399999999999999" x14ac:dyDescent="0.25">
      <c r="A977" s="140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7.399999999999999" x14ac:dyDescent="0.25">
      <c r="A978" s="140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7.399999999999999" x14ac:dyDescent="0.25">
      <c r="A979" s="140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7.399999999999999" x14ac:dyDescent="0.25">
      <c r="A980" s="140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7.399999999999999" x14ac:dyDescent="0.25">
      <c r="A981" s="140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7.399999999999999" x14ac:dyDescent="0.25">
      <c r="A982" s="140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7.399999999999999" x14ac:dyDescent="0.25">
      <c r="A983" s="140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7.399999999999999" x14ac:dyDescent="0.25">
      <c r="A984" s="140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7.399999999999999" x14ac:dyDescent="0.25">
      <c r="A985" s="140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7.399999999999999" x14ac:dyDescent="0.25">
      <c r="A986" s="140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7.399999999999999" x14ac:dyDescent="0.25">
      <c r="A987" s="140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Z986"/>
  <sheetViews>
    <sheetView workbookViewId="0"/>
  </sheetViews>
  <sheetFormatPr defaultColWidth="12.6640625" defaultRowHeight="15.75" customHeight="1" x14ac:dyDescent="0.25"/>
  <cols>
    <col min="1" max="1" width="5.88671875" customWidth="1"/>
    <col min="2" max="2" width="17" customWidth="1"/>
    <col min="3" max="3" width="28.88671875" customWidth="1"/>
    <col min="4" max="4" width="31.21875" customWidth="1"/>
    <col min="5" max="5" width="24.6640625" customWidth="1"/>
    <col min="6" max="6" width="33.77734375" customWidth="1"/>
    <col min="7" max="7" width="34.33203125" customWidth="1"/>
  </cols>
  <sheetData>
    <row r="1" spans="1:26" ht="53.25" customHeight="1" x14ac:dyDescent="0.25">
      <c r="A1" s="141" t="s">
        <v>104</v>
      </c>
      <c r="B1" s="142" t="s">
        <v>105</v>
      </c>
      <c r="C1" s="142" t="s">
        <v>106</v>
      </c>
      <c r="D1" s="142" t="s">
        <v>107</v>
      </c>
      <c r="E1" s="142" t="s">
        <v>178</v>
      </c>
      <c r="F1" s="142" t="s">
        <v>109</v>
      </c>
      <c r="G1" s="142" t="s">
        <v>110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41.4" x14ac:dyDescent="0.25">
      <c r="A2" s="143">
        <v>1</v>
      </c>
      <c r="B2" s="123" t="s">
        <v>179</v>
      </c>
      <c r="C2" s="125" t="s">
        <v>180</v>
      </c>
      <c r="D2" s="125" t="s">
        <v>113</v>
      </c>
      <c r="E2" s="125" t="s">
        <v>181</v>
      </c>
      <c r="F2" s="125" t="s">
        <v>182</v>
      </c>
      <c r="G2" s="125" t="s">
        <v>183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82.8" x14ac:dyDescent="0.25">
      <c r="A3" s="143">
        <v>2</v>
      </c>
      <c r="B3" s="131" t="s">
        <v>184</v>
      </c>
      <c r="C3" s="128" t="s">
        <v>185</v>
      </c>
      <c r="D3" s="129" t="s">
        <v>186</v>
      </c>
      <c r="E3" s="128" t="s">
        <v>187</v>
      </c>
      <c r="F3" s="128" t="s">
        <v>188</v>
      </c>
      <c r="G3" s="130" t="s">
        <v>189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96.6" x14ac:dyDescent="0.25">
      <c r="A4" s="143">
        <v>3</v>
      </c>
      <c r="B4" s="131" t="s">
        <v>190</v>
      </c>
      <c r="C4" s="129" t="s">
        <v>191</v>
      </c>
      <c r="D4" s="129" t="s">
        <v>192</v>
      </c>
      <c r="E4" s="128" t="s">
        <v>193</v>
      </c>
      <c r="F4" s="129" t="s">
        <v>194</v>
      </c>
      <c r="G4" s="130" t="s">
        <v>195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41.4" x14ac:dyDescent="0.25">
      <c r="A5" s="143">
        <v>4</v>
      </c>
      <c r="B5" s="131" t="s">
        <v>196</v>
      </c>
      <c r="C5" s="129" t="s">
        <v>197</v>
      </c>
      <c r="D5" s="128" t="s">
        <v>198</v>
      </c>
      <c r="E5" s="133"/>
      <c r="F5" s="128" t="s">
        <v>199</v>
      </c>
      <c r="G5" s="128" t="s">
        <v>200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1.2" x14ac:dyDescent="0.25">
      <c r="A6" s="143">
        <v>5</v>
      </c>
      <c r="B6" s="131" t="s">
        <v>201</v>
      </c>
      <c r="C6" s="128" t="s">
        <v>202</v>
      </c>
      <c r="D6" s="128" t="s">
        <v>203</v>
      </c>
      <c r="E6" s="128" t="s">
        <v>204</v>
      </c>
      <c r="F6" s="128" t="s">
        <v>205</v>
      </c>
      <c r="G6" s="129" t="s">
        <v>200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41.4" x14ac:dyDescent="0.25">
      <c r="A7" s="143">
        <v>6</v>
      </c>
      <c r="B7" s="131" t="s">
        <v>206</v>
      </c>
      <c r="C7" s="129" t="s">
        <v>207</v>
      </c>
      <c r="D7" s="129" t="s">
        <v>208</v>
      </c>
      <c r="E7" s="133"/>
      <c r="F7" s="129" t="s">
        <v>209</v>
      </c>
      <c r="G7" s="129" t="s">
        <v>200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41.4" x14ac:dyDescent="0.25">
      <c r="A8" s="143">
        <v>7</v>
      </c>
      <c r="B8" s="131" t="s">
        <v>210</v>
      </c>
      <c r="C8" s="129" t="s">
        <v>211</v>
      </c>
      <c r="D8" s="129" t="s">
        <v>212</v>
      </c>
      <c r="E8" s="129" t="s">
        <v>151</v>
      </c>
      <c r="F8" s="129" t="s">
        <v>213</v>
      </c>
      <c r="G8" s="129" t="s">
        <v>200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55.2" x14ac:dyDescent="0.25">
      <c r="A9" s="143">
        <v>8</v>
      </c>
      <c r="B9" s="131" t="s">
        <v>214</v>
      </c>
      <c r="C9" s="129" t="s">
        <v>215</v>
      </c>
      <c r="D9" s="129" t="s">
        <v>216</v>
      </c>
      <c r="E9" s="129" t="s">
        <v>187</v>
      </c>
      <c r="F9" s="129" t="s">
        <v>217</v>
      </c>
      <c r="G9" s="129" t="s">
        <v>200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41.4" x14ac:dyDescent="0.25">
      <c r="A10" s="143">
        <v>9</v>
      </c>
      <c r="B10" s="131" t="s">
        <v>218</v>
      </c>
      <c r="C10" s="129" t="s">
        <v>219</v>
      </c>
      <c r="D10" s="129" t="s">
        <v>119</v>
      </c>
      <c r="E10" s="129" t="s">
        <v>151</v>
      </c>
      <c r="F10" s="129" t="s">
        <v>220</v>
      </c>
      <c r="G10" s="129" t="s">
        <v>200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46.8" x14ac:dyDescent="0.25">
      <c r="A11" s="143">
        <v>10</v>
      </c>
      <c r="B11" s="131" t="s">
        <v>221</v>
      </c>
      <c r="C11" s="129" t="s">
        <v>222</v>
      </c>
      <c r="D11" s="129" t="s">
        <v>223</v>
      </c>
      <c r="E11" s="129" t="s">
        <v>224</v>
      </c>
      <c r="F11" s="129" t="s">
        <v>225</v>
      </c>
      <c r="G11" s="129" t="s">
        <v>226</v>
      </c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4.799999999999997" x14ac:dyDescent="0.25">
      <c r="A12" s="144" t="s">
        <v>104</v>
      </c>
      <c r="B12" s="142" t="s">
        <v>105</v>
      </c>
      <c r="C12" s="142" t="s">
        <v>106</v>
      </c>
      <c r="D12" s="142" t="s">
        <v>107</v>
      </c>
      <c r="E12" s="142" t="s">
        <v>108</v>
      </c>
      <c r="F12" s="142" t="s">
        <v>109</v>
      </c>
      <c r="G12" s="142" t="s">
        <v>110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55.2" x14ac:dyDescent="0.25">
      <c r="A13" s="145">
        <v>11</v>
      </c>
      <c r="B13" s="136" t="s">
        <v>168</v>
      </c>
      <c r="C13" s="137" t="s">
        <v>169</v>
      </c>
      <c r="D13" s="137" t="s">
        <v>170</v>
      </c>
      <c r="E13" s="138"/>
      <c r="F13" s="139" t="s">
        <v>171</v>
      </c>
      <c r="G13" s="137" t="s">
        <v>172</v>
      </c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82.8" x14ac:dyDescent="0.25">
      <c r="A14" s="145">
        <v>12</v>
      </c>
      <c r="B14" s="136" t="s">
        <v>173</v>
      </c>
      <c r="C14" s="137" t="s">
        <v>174</v>
      </c>
      <c r="D14" s="137" t="s">
        <v>175</v>
      </c>
      <c r="E14" s="138"/>
      <c r="F14" s="137" t="s">
        <v>176</v>
      </c>
      <c r="G14" s="137" t="s">
        <v>177</v>
      </c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7.399999999999999" x14ac:dyDescent="0.25">
      <c r="A15" s="146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7.399999999999999" x14ac:dyDescent="0.25">
      <c r="A16" s="146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7.399999999999999" x14ac:dyDescent="0.25">
      <c r="A17" s="146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7.399999999999999" x14ac:dyDescent="0.25">
      <c r="A18" s="146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7.399999999999999" x14ac:dyDescent="0.25">
      <c r="A19" s="146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7.399999999999999" x14ac:dyDescent="0.25">
      <c r="A20" s="146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7.399999999999999" x14ac:dyDescent="0.25">
      <c r="A21" s="146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7.399999999999999" x14ac:dyDescent="0.25">
      <c r="A22" s="146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7.399999999999999" x14ac:dyDescent="0.25">
      <c r="A23" s="146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7.399999999999999" x14ac:dyDescent="0.25">
      <c r="A24" s="146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7.399999999999999" x14ac:dyDescent="0.25">
      <c r="A25" s="146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7.399999999999999" x14ac:dyDescent="0.25">
      <c r="A26" s="146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7.399999999999999" x14ac:dyDescent="0.25">
      <c r="A27" s="146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7.399999999999999" x14ac:dyDescent="0.25">
      <c r="A28" s="146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7.399999999999999" x14ac:dyDescent="0.25">
      <c r="A29" s="146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7.399999999999999" x14ac:dyDescent="0.25">
      <c r="A30" s="146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7.399999999999999" x14ac:dyDescent="0.25">
      <c r="A31" s="146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7.399999999999999" x14ac:dyDescent="0.25">
      <c r="A32" s="146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7.399999999999999" x14ac:dyDescent="0.25">
      <c r="A33" s="146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7.399999999999999" x14ac:dyDescent="0.25">
      <c r="A34" s="146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7.399999999999999" x14ac:dyDescent="0.25">
      <c r="A35" s="146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7.399999999999999" x14ac:dyDescent="0.25">
      <c r="A36" s="146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7.399999999999999" x14ac:dyDescent="0.25">
      <c r="A37" s="146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7.399999999999999" x14ac:dyDescent="0.25">
      <c r="A38" s="146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7.399999999999999" x14ac:dyDescent="0.25">
      <c r="A39" s="146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7.399999999999999" x14ac:dyDescent="0.25">
      <c r="A40" s="146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7.399999999999999" x14ac:dyDescent="0.25">
      <c r="A41" s="146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7.399999999999999" x14ac:dyDescent="0.25">
      <c r="A42" s="146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7.399999999999999" x14ac:dyDescent="0.25">
      <c r="A43" s="146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7.399999999999999" x14ac:dyDescent="0.25">
      <c r="A44" s="146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7.399999999999999" x14ac:dyDescent="0.25">
      <c r="A45" s="146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7.399999999999999" x14ac:dyDescent="0.25">
      <c r="A46" s="146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7.399999999999999" x14ac:dyDescent="0.25">
      <c r="A47" s="146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7.399999999999999" x14ac:dyDescent="0.25">
      <c r="A48" s="146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7.399999999999999" x14ac:dyDescent="0.25">
      <c r="A49" s="146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7.399999999999999" x14ac:dyDescent="0.25">
      <c r="A50" s="146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7.399999999999999" x14ac:dyDescent="0.25">
      <c r="A51" s="146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7.399999999999999" x14ac:dyDescent="0.25">
      <c r="A52" s="146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7.399999999999999" x14ac:dyDescent="0.25">
      <c r="A53" s="146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7.399999999999999" x14ac:dyDescent="0.25">
      <c r="A54" s="146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7.399999999999999" x14ac:dyDescent="0.25">
      <c r="A55" s="146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7.399999999999999" x14ac:dyDescent="0.25">
      <c r="A56" s="146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7.399999999999999" x14ac:dyDescent="0.25">
      <c r="A57" s="146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7.399999999999999" x14ac:dyDescent="0.25">
      <c r="A58" s="146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7.399999999999999" x14ac:dyDescent="0.25">
      <c r="A59" s="146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7.399999999999999" x14ac:dyDescent="0.25">
      <c r="A60" s="146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7.399999999999999" x14ac:dyDescent="0.25">
      <c r="A61" s="146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7.399999999999999" x14ac:dyDescent="0.25">
      <c r="A62" s="146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7.399999999999999" x14ac:dyDescent="0.25">
      <c r="A63" s="146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7.399999999999999" x14ac:dyDescent="0.25">
      <c r="A64" s="146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7.399999999999999" x14ac:dyDescent="0.25">
      <c r="A65" s="146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7.399999999999999" x14ac:dyDescent="0.25">
      <c r="A66" s="146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7.399999999999999" x14ac:dyDescent="0.25">
      <c r="A67" s="146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7.399999999999999" x14ac:dyDescent="0.25">
      <c r="A68" s="146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7.399999999999999" x14ac:dyDescent="0.25">
      <c r="A69" s="146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7.399999999999999" x14ac:dyDescent="0.25">
      <c r="A70" s="146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7.399999999999999" x14ac:dyDescent="0.25">
      <c r="A71" s="146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7.399999999999999" x14ac:dyDescent="0.25">
      <c r="A72" s="146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7.399999999999999" x14ac:dyDescent="0.25">
      <c r="A73" s="146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7.399999999999999" x14ac:dyDescent="0.25">
      <c r="A74" s="146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7.399999999999999" x14ac:dyDescent="0.25">
      <c r="A75" s="146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7.399999999999999" x14ac:dyDescent="0.25">
      <c r="A76" s="146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7.399999999999999" x14ac:dyDescent="0.25">
      <c r="A77" s="146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7.399999999999999" x14ac:dyDescent="0.25">
      <c r="A78" s="146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7.399999999999999" x14ac:dyDescent="0.25">
      <c r="A79" s="146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7.399999999999999" x14ac:dyDescent="0.25">
      <c r="A80" s="146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7.399999999999999" x14ac:dyDescent="0.25">
      <c r="A81" s="146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7.399999999999999" x14ac:dyDescent="0.25">
      <c r="A82" s="146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7.399999999999999" x14ac:dyDescent="0.25">
      <c r="A83" s="146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7.399999999999999" x14ac:dyDescent="0.25">
      <c r="A84" s="146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7.399999999999999" x14ac:dyDescent="0.25">
      <c r="A85" s="146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7.399999999999999" x14ac:dyDescent="0.25">
      <c r="A86" s="146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7.399999999999999" x14ac:dyDescent="0.25">
      <c r="A87" s="146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7.399999999999999" x14ac:dyDescent="0.25">
      <c r="A88" s="146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7.399999999999999" x14ac:dyDescent="0.25">
      <c r="A89" s="146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7.399999999999999" x14ac:dyDescent="0.25">
      <c r="A90" s="146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7.399999999999999" x14ac:dyDescent="0.25">
      <c r="A91" s="146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7.399999999999999" x14ac:dyDescent="0.25">
      <c r="A92" s="146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7.399999999999999" x14ac:dyDescent="0.25">
      <c r="A93" s="146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7.399999999999999" x14ac:dyDescent="0.25">
      <c r="A94" s="146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7.399999999999999" x14ac:dyDescent="0.25">
      <c r="A95" s="146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7.399999999999999" x14ac:dyDescent="0.25">
      <c r="A96" s="146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7.399999999999999" x14ac:dyDescent="0.25">
      <c r="A97" s="146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7.399999999999999" x14ac:dyDescent="0.25">
      <c r="A98" s="146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7.399999999999999" x14ac:dyDescent="0.25">
      <c r="A99" s="146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7.399999999999999" x14ac:dyDescent="0.25">
      <c r="A100" s="146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7.399999999999999" x14ac:dyDescent="0.25">
      <c r="A101" s="146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7.399999999999999" x14ac:dyDescent="0.25">
      <c r="A102" s="146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7.399999999999999" x14ac:dyDescent="0.25">
      <c r="A103" s="146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7.399999999999999" x14ac:dyDescent="0.25">
      <c r="A104" s="146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7.399999999999999" x14ac:dyDescent="0.25">
      <c r="A105" s="146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7.399999999999999" x14ac:dyDescent="0.25">
      <c r="A106" s="146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7.399999999999999" x14ac:dyDescent="0.25">
      <c r="A107" s="146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7.399999999999999" x14ac:dyDescent="0.25">
      <c r="A108" s="146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7.399999999999999" x14ac:dyDescent="0.25">
      <c r="A109" s="146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7.399999999999999" x14ac:dyDescent="0.25">
      <c r="A110" s="146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7.399999999999999" x14ac:dyDescent="0.25">
      <c r="A111" s="146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7.399999999999999" x14ac:dyDescent="0.25">
      <c r="A112" s="146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7.399999999999999" x14ac:dyDescent="0.25">
      <c r="A113" s="146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7.399999999999999" x14ac:dyDescent="0.25">
      <c r="A114" s="146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7.399999999999999" x14ac:dyDescent="0.25">
      <c r="A115" s="146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7.399999999999999" x14ac:dyDescent="0.25">
      <c r="A116" s="146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7.399999999999999" x14ac:dyDescent="0.25">
      <c r="A117" s="146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7.399999999999999" x14ac:dyDescent="0.25">
      <c r="A118" s="146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7.399999999999999" x14ac:dyDescent="0.25">
      <c r="A119" s="146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7.399999999999999" x14ac:dyDescent="0.25">
      <c r="A120" s="146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7.399999999999999" x14ac:dyDescent="0.25">
      <c r="A121" s="146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7.399999999999999" x14ac:dyDescent="0.25">
      <c r="A122" s="146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7.399999999999999" x14ac:dyDescent="0.25">
      <c r="A123" s="146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7.399999999999999" x14ac:dyDescent="0.25">
      <c r="A124" s="146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7.399999999999999" x14ac:dyDescent="0.25">
      <c r="A125" s="146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7.399999999999999" x14ac:dyDescent="0.25">
      <c r="A126" s="146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7.399999999999999" x14ac:dyDescent="0.25">
      <c r="A127" s="146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7.399999999999999" x14ac:dyDescent="0.25">
      <c r="A128" s="146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7.399999999999999" x14ac:dyDescent="0.25">
      <c r="A129" s="146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7.399999999999999" x14ac:dyDescent="0.25">
      <c r="A130" s="146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7.399999999999999" x14ac:dyDescent="0.25">
      <c r="A131" s="146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7.399999999999999" x14ac:dyDescent="0.25">
      <c r="A132" s="146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7.399999999999999" x14ac:dyDescent="0.25">
      <c r="A133" s="146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7.399999999999999" x14ac:dyDescent="0.25">
      <c r="A134" s="146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7.399999999999999" x14ac:dyDescent="0.25">
      <c r="A135" s="146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7.399999999999999" x14ac:dyDescent="0.25">
      <c r="A136" s="146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7.399999999999999" x14ac:dyDescent="0.25">
      <c r="A137" s="146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7.399999999999999" x14ac:dyDescent="0.25">
      <c r="A138" s="146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7.399999999999999" x14ac:dyDescent="0.25">
      <c r="A139" s="146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7.399999999999999" x14ac:dyDescent="0.25">
      <c r="A140" s="146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7.399999999999999" x14ac:dyDescent="0.25">
      <c r="A141" s="146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7.399999999999999" x14ac:dyDescent="0.25">
      <c r="A142" s="146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7.399999999999999" x14ac:dyDescent="0.25">
      <c r="A143" s="146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7.399999999999999" x14ac:dyDescent="0.25">
      <c r="A144" s="146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7.399999999999999" x14ac:dyDescent="0.25">
      <c r="A145" s="146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7.399999999999999" x14ac:dyDescent="0.25">
      <c r="A146" s="146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7.399999999999999" x14ac:dyDescent="0.25">
      <c r="A147" s="146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7.399999999999999" x14ac:dyDescent="0.25">
      <c r="A148" s="146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7.399999999999999" x14ac:dyDescent="0.25">
      <c r="A149" s="146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7.399999999999999" x14ac:dyDescent="0.25">
      <c r="A150" s="146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7.399999999999999" x14ac:dyDescent="0.25">
      <c r="A151" s="146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7.399999999999999" x14ac:dyDescent="0.25">
      <c r="A152" s="146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7.399999999999999" x14ac:dyDescent="0.25">
      <c r="A153" s="146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7.399999999999999" x14ac:dyDescent="0.25">
      <c r="A154" s="146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7.399999999999999" x14ac:dyDescent="0.25">
      <c r="A155" s="146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7.399999999999999" x14ac:dyDescent="0.25">
      <c r="A156" s="146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7.399999999999999" x14ac:dyDescent="0.25">
      <c r="A157" s="146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7.399999999999999" x14ac:dyDescent="0.25">
      <c r="A158" s="146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7.399999999999999" x14ac:dyDescent="0.25">
      <c r="A159" s="146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7.399999999999999" x14ac:dyDescent="0.25">
      <c r="A160" s="146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7.399999999999999" x14ac:dyDescent="0.25">
      <c r="A161" s="146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7.399999999999999" x14ac:dyDescent="0.25">
      <c r="A162" s="146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7.399999999999999" x14ac:dyDescent="0.25">
      <c r="A163" s="146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7.399999999999999" x14ac:dyDescent="0.25">
      <c r="A164" s="146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7.399999999999999" x14ac:dyDescent="0.25">
      <c r="A165" s="146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7.399999999999999" x14ac:dyDescent="0.25">
      <c r="A166" s="146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7.399999999999999" x14ac:dyDescent="0.25">
      <c r="A167" s="146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7.399999999999999" x14ac:dyDescent="0.25">
      <c r="A168" s="146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7.399999999999999" x14ac:dyDescent="0.25">
      <c r="A169" s="146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7.399999999999999" x14ac:dyDescent="0.25">
      <c r="A170" s="146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7.399999999999999" x14ac:dyDescent="0.25">
      <c r="A171" s="146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7.399999999999999" x14ac:dyDescent="0.25">
      <c r="A172" s="146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7.399999999999999" x14ac:dyDescent="0.25">
      <c r="A173" s="146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7.399999999999999" x14ac:dyDescent="0.25">
      <c r="A174" s="146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7.399999999999999" x14ac:dyDescent="0.25">
      <c r="A175" s="146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7.399999999999999" x14ac:dyDescent="0.25">
      <c r="A176" s="146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7.399999999999999" x14ac:dyDescent="0.25">
      <c r="A177" s="146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7.399999999999999" x14ac:dyDescent="0.25">
      <c r="A178" s="146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7.399999999999999" x14ac:dyDescent="0.25">
      <c r="A179" s="146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7.399999999999999" x14ac:dyDescent="0.25">
      <c r="A180" s="146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7.399999999999999" x14ac:dyDescent="0.25">
      <c r="A181" s="146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7.399999999999999" x14ac:dyDescent="0.25">
      <c r="A182" s="146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7.399999999999999" x14ac:dyDescent="0.25">
      <c r="A183" s="146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7.399999999999999" x14ac:dyDescent="0.25">
      <c r="A184" s="146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7.399999999999999" x14ac:dyDescent="0.25">
      <c r="A185" s="146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7.399999999999999" x14ac:dyDescent="0.25">
      <c r="A186" s="146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7.399999999999999" x14ac:dyDescent="0.25">
      <c r="A187" s="146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7.399999999999999" x14ac:dyDescent="0.25">
      <c r="A188" s="146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7.399999999999999" x14ac:dyDescent="0.25">
      <c r="A189" s="146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7.399999999999999" x14ac:dyDescent="0.25">
      <c r="A190" s="146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7.399999999999999" x14ac:dyDescent="0.25">
      <c r="A191" s="146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7.399999999999999" x14ac:dyDescent="0.25">
      <c r="A192" s="146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7.399999999999999" x14ac:dyDescent="0.25">
      <c r="A193" s="146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7.399999999999999" x14ac:dyDescent="0.25">
      <c r="A194" s="146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7.399999999999999" x14ac:dyDescent="0.25">
      <c r="A195" s="146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7.399999999999999" x14ac:dyDescent="0.25">
      <c r="A196" s="146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7.399999999999999" x14ac:dyDescent="0.25">
      <c r="A197" s="146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7.399999999999999" x14ac:dyDescent="0.25">
      <c r="A198" s="146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7.399999999999999" x14ac:dyDescent="0.25">
      <c r="A199" s="146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7.399999999999999" x14ac:dyDescent="0.25">
      <c r="A200" s="146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7.399999999999999" x14ac:dyDescent="0.25">
      <c r="A201" s="146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7.399999999999999" x14ac:dyDescent="0.25">
      <c r="A202" s="146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7.399999999999999" x14ac:dyDescent="0.25">
      <c r="A203" s="146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7.399999999999999" x14ac:dyDescent="0.25">
      <c r="A204" s="146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7.399999999999999" x14ac:dyDescent="0.25">
      <c r="A205" s="146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7.399999999999999" x14ac:dyDescent="0.25">
      <c r="A206" s="146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7.399999999999999" x14ac:dyDescent="0.25">
      <c r="A207" s="146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7.399999999999999" x14ac:dyDescent="0.25">
      <c r="A208" s="146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7.399999999999999" x14ac:dyDescent="0.25">
      <c r="A209" s="146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7.399999999999999" x14ac:dyDescent="0.25">
      <c r="A210" s="146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7.399999999999999" x14ac:dyDescent="0.25">
      <c r="A211" s="146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7.399999999999999" x14ac:dyDescent="0.25">
      <c r="A212" s="146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7.399999999999999" x14ac:dyDescent="0.25">
      <c r="A213" s="146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7.399999999999999" x14ac:dyDescent="0.25">
      <c r="A214" s="146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7.399999999999999" x14ac:dyDescent="0.25">
      <c r="A215" s="146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7.399999999999999" x14ac:dyDescent="0.25">
      <c r="A216" s="146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7.399999999999999" x14ac:dyDescent="0.25">
      <c r="A217" s="146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7.399999999999999" x14ac:dyDescent="0.25">
      <c r="A218" s="146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7.399999999999999" x14ac:dyDescent="0.25">
      <c r="A219" s="146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7.399999999999999" x14ac:dyDescent="0.25">
      <c r="A220" s="146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7.399999999999999" x14ac:dyDescent="0.25">
      <c r="A221" s="146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7.399999999999999" x14ac:dyDescent="0.25">
      <c r="A222" s="146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7.399999999999999" x14ac:dyDescent="0.25">
      <c r="A223" s="146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7.399999999999999" x14ac:dyDescent="0.25">
      <c r="A224" s="146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7.399999999999999" x14ac:dyDescent="0.25">
      <c r="A225" s="146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7.399999999999999" x14ac:dyDescent="0.25">
      <c r="A226" s="146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7.399999999999999" x14ac:dyDescent="0.25">
      <c r="A227" s="146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7.399999999999999" x14ac:dyDescent="0.25">
      <c r="A228" s="146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7.399999999999999" x14ac:dyDescent="0.25">
      <c r="A229" s="146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7.399999999999999" x14ac:dyDescent="0.25">
      <c r="A230" s="146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7.399999999999999" x14ac:dyDescent="0.25">
      <c r="A231" s="146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7.399999999999999" x14ac:dyDescent="0.25">
      <c r="A232" s="146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7.399999999999999" x14ac:dyDescent="0.25">
      <c r="A233" s="146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7.399999999999999" x14ac:dyDescent="0.25">
      <c r="A234" s="146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7.399999999999999" x14ac:dyDescent="0.25">
      <c r="A235" s="146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7.399999999999999" x14ac:dyDescent="0.25">
      <c r="A236" s="146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7.399999999999999" x14ac:dyDescent="0.25">
      <c r="A237" s="146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7.399999999999999" x14ac:dyDescent="0.25">
      <c r="A238" s="146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7.399999999999999" x14ac:dyDescent="0.25">
      <c r="A239" s="146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7.399999999999999" x14ac:dyDescent="0.25">
      <c r="A240" s="146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7.399999999999999" x14ac:dyDescent="0.25">
      <c r="A241" s="146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7.399999999999999" x14ac:dyDescent="0.25">
      <c r="A242" s="146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7.399999999999999" x14ac:dyDescent="0.25">
      <c r="A243" s="146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7.399999999999999" x14ac:dyDescent="0.25">
      <c r="A244" s="146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7.399999999999999" x14ac:dyDescent="0.25">
      <c r="A245" s="146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7.399999999999999" x14ac:dyDescent="0.25">
      <c r="A246" s="146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7.399999999999999" x14ac:dyDescent="0.25">
      <c r="A247" s="146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7.399999999999999" x14ac:dyDescent="0.25">
      <c r="A248" s="146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7.399999999999999" x14ac:dyDescent="0.25">
      <c r="A249" s="146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7.399999999999999" x14ac:dyDescent="0.25">
      <c r="A250" s="146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7.399999999999999" x14ac:dyDescent="0.25">
      <c r="A251" s="146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7.399999999999999" x14ac:dyDescent="0.25">
      <c r="A252" s="146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7.399999999999999" x14ac:dyDescent="0.25">
      <c r="A253" s="146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7.399999999999999" x14ac:dyDescent="0.25">
      <c r="A254" s="146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7.399999999999999" x14ac:dyDescent="0.25">
      <c r="A255" s="146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7.399999999999999" x14ac:dyDescent="0.25">
      <c r="A256" s="146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7.399999999999999" x14ac:dyDescent="0.25">
      <c r="A257" s="146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7.399999999999999" x14ac:dyDescent="0.25">
      <c r="A258" s="146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7.399999999999999" x14ac:dyDescent="0.25">
      <c r="A259" s="146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7.399999999999999" x14ac:dyDescent="0.25">
      <c r="A260" s="146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7.399999999999999" x14ac:dyDescent="0.25">
      <c r="A261" s="146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7.399999999999999" x14ac:dyDescent="0.25">
      <c r="A262" s="146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7.399999999999999" x14ac:dyDescent="0.25">
      <c r="A263" s="146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7.399999999999999" x14ac:dyDescent="0.25">
      <c r="A264" s="146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7.399999999999999" x14ac:dyDescent="0.25">
      <c r="A265" s="146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7.399999999999999" x14ac:dyDescent="0.25">
      <c r="A266" s="146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7.399999999999999" x14ac:dyDescent="0.25">
      <c r="A267" s="146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7.399999999999999" x14ac:dyDescent="0.25">
      <c r="A268" s="146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7.399999999999999" x14ac:dyDescent="0.25">
      <c r="A269" s="146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7.399999999999999" x14ac:dyDescent="0.25">
      <c r="A270" s="146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7.399999999999999" x14ac:dyDescent="0.25">
      <c r="A271" s="146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7.399999999999999" x14ac:dyDescent="0.25">
      <c r="A272" s="146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7.399999999999999" x14ac:dyDescent="0.25">
      <c r="A273" s="146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7.399999999999999" x14ac:dyDescent="0.25">
      <c r="A274" s="146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7.399999999999999" x14ac:dyDescent="0.25">
      <c r="A275" s="146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7.399999999999999" x14ac:dyDescent="0.25">
      <c r="A276" s="146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7.399999999999999" x14ac:dyDescent="0.25">
      <c r="A277" s="146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7.399999999999999" x14ac:dyDescent="0.25">
      <c r="A278" s="146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7.399999999999999" x14ac:dyDescent="0.25">
      <c r="A279" s="146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7.399999999999999" x14ac:dyDescent="0.25">
      <c r="A280" s="146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7.399999999999999" x14ac:dyDescent="0.25">
      <c r="A281" s="146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7.399999999999999" x14ac:dyDescent="0.25">
      <c r="A282" s="146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7.399999999999999" x14ac:dyDescent="0.25">
      <c r="A283" s="146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7.399999999999999" x14ac:dyDescent="0.25">
      <c r="A284" s="146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7.399999999999999" x14ac:dyDescent="0.25">
      <c r="A285" s="146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7.399999999999999" x14ac:dyDescent="0.25">
      <c r="A286" s="146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7.399999999999999" x14ac:dyDescent="0.25">
      <c r="A287" s="146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7.399999999999999" x14ac:dyDescent="0.25">
      <c r="A288" s="146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7.399999999999999" x14ac:dyDescent="0.25">
      <c r="A289" s="146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7.399999999999999" x14ac:dyDescent="0.25">
      <c r="A290" s="146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7.399999999999999" x14ac:dyDescent="0.25">
      <c r="A291" s="146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7.399999999999999" x14ac:dyDescent="0.25">
      <c r="A292" s="146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7.399999999999999" x14ac:dyDescent="0.25">
      <c r="A293" s="146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7.399999999999999" x14ac:dyDescent="0.25">
      <c r="A294" s="146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7.399999999999999" x14ac:dyDescent="0.25">
      <c r="A295" s="146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7.399999999999999" x14ac:dyDescent="0.25">
      <c r="A296" s="146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7.399999999999999" x14ac:dyDescent="0.25">
      <c r="A297" s="146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7.399999999999999" x14ac:dyDescent="0.25">
      <c r="A298" s="146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7.399999999999999" x14ac:dyDescent="0.25">
      <c r="A299" s="146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7.399999999999999" x14ac:dyDescent="0.25">
      <c r="A300" s="146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7.399999999999999" x14ac:dyDescent="0.25">
      <c r="A301" s="146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7.399999999999999" x14ac:dyDescent="0.25">
      <c r="A302" s="146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7.399999999999999" x14ac:dyDescent="0.25">
      <c r="A303" s="146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7.399999999999999" x14ac:dyDescent="0.25">
      <c r="A304" s="146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7.399999999999999" x14ac:dyDescent="0.25">
      <c r="A305" s="146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7.399999999999999" x14ac:dyDescent="0.25">
      <c r="A306" s="146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7.399999999999999" x14ac:dyDescent="0.25">
      <c r="A307" s="146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7.399999999999999" x14ac:dyDescent="0.25">
      <c r="A308" s="146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7.399999999999999" x14ac:dyDescent="0.25">
      <c r="A309" s="146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7.399999999999999" x14ac:dyDescent="0.25">
      <c r="A310" s="146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7.399999999999999" x14ac:dyDescent="0.25">
      <c r="A311" s="146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7.399999999999999" x14ac:dyDescent="0.25">
      <c r="A312" s="146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7.399999999999999" x14ac:dyDescent="0.25">
      <c r="A313" s="146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7.399999999999999" x14ac:dyDescent="0.25">
      <c r="A314" s="146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7.399999999999999" x14ac:dyDescent="0.25">
      <c r="A315" s="146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7.399999999999999" x14ac:dyDescent="0.25">
      <c r="A316" s="146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7.399999999999999" x14ac:dyDescent="0.25">
      <c r="A317" s="146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7.399999999999999" x14ac:dyDescent="0.25">
      <c r="A318" s="146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7.399999999999999" x14ac:dyDescent="0.25">
      <c r="A319" s="146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7.399999999999999" x14ac:dyDescent="0.25">
      <c r="A320" s="146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7.399999999999999" x14ac:dyDescent="0.25">
      <c r="A321" s="146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7.399999999999999" x14ac:dyDescent="0.25">
      <c r="A322" s="146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7.399999999999999" x14ac:dyDescent="0.25">
      <c r="A323" s="146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7.399999999999999" x14ac:dyDescent="0.25">
      <c r="A324" s="146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7.399999999999999" x14ac:dyDescent="0.25">
      <c r="A325" s="146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7.399999999999999" x14ac:dyDescent="0.25">
      <c r="A326" s="146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7.399999999999999" x14ac:dyDescent="0.25">
      <c r="A327" s="146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7.399999999999999" x14ac:dyDescent="0.25">
      <c r="A328" s="146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7.399999999999999" x14ac:dyDescent="0.25">
      <c r="A329" s="146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7.399999999999999" x14ac:dyDescent="0.25">
      <c r="A330" s="146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7.399999999999999" x14ac:dyDescent="0.25">
      <c r="A331" s="146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7.399999999999999" x14ac:dyDescent="0.25">
      <c r="A332" s="146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7.399999999999999" x14ac:dyDescent="0.25">
      <c r="A333" s="146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7.399999999999999" x14ac:dyDescent="0.25">
      <c r="A334" s="146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7.399999999999999" x14ac:dyDescent="0.25">
      <c r="A335" s="146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7.399999999999999" x14ac:dyDescent="0.25">
      <c r="A336" s="146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7.399999999999999" x14ac:dyDescent="0.25">
      <c r="A337" s="146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7.399999999999999" x14ac:dyDescent="0.25">
      <c r="A338" s="146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7.399999999999999" x14ac:dyDescent="0.25">
      <c r="A339" s="146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7.399999999999999" x14ac:dyDescent="0.25">
      <c r="A340" s="146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7.399999999999999" x14ac:dyDescent="0.25">
      <c r="A341" s="146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7.399999999999999" x14ac:dyDescent="0.25">
      <c r="A342" s="146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7.399999999999999" x14ac:dyDescent="0.25">
      <c r="A343" s="146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7.399999999999999" x14ac:dyDescent="0.25">
      <c r="A344" s="146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7.399999999999999" x14ac:dyDescent="0.25">
      <c r="A345" s="146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7.399999999999999" x14ac:dyDescent="0.25">
      <c r="A346" s="146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7.399999999999999" x14ac:dyDescent="0.25">
      <c r="A347" s="146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7.399999999999999" x14ac:dyDescent="0.25">
      <c r="A348" s="146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7.399999999999999" x14ac:dyDescent="0.25">
      <c r="A349" s="146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7.399999999999999" x14ac:dyDescent="0.25">
      <c r="A350" s="146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7.399999999999999" x14ac:dyDescent="0.25">
      <c r="A351" s="146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7.399999999999999" x14ac:dyDescent="0.25">
      <c r="A352" s="146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7.399999999999999" x14ac:dyDescent="0.25">
      <c r="A353" s="146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7.399999999999999" x14ac:dyDescent="0.25">
      <c r="A354" s="146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7.399999999999999" x14ac:dyDescent="0.25">
      <c r="A355" s="146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7.399999999999999" x14ac:dyDescent="0.25">
      <c r="A356" s="146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7.399999999999999" x14ac:dyDescent="0.25">
      <c r="A357" s="146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7.399999999999999" x14ac:dyDescent="0.25">
      <c r="A358" s="146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7.399999999999999" x14ac:dyDescent="0.25">
      <c r="A359" s="146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7.399999999999999" x14ac:dyDescent="0.25">
      <c r="A360" s="146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7.399999999999999" x14ac:dyDescent="0.25">
      <c r="A361" s="146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7.399999999999999" x14ac:dyDescent="0.25">
      <c r="A362" s="146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7.399999999999999" x14ac:dyDescent="0.25">
      <c r="A363" s="146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7.399999999999999" x14ac:dyDescent="0.25">
      <c r="A364" s="146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7.399999999999999" x14ac:dyDescent="0.25">
      <c r="A365" s="146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7.399999999999999" x14ac:dyDescent="0.25">
      <c r="A366" s="146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7.399999999999999" x14ac:dyDescent="0.25">
      <c r="A367" s="146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7.399999999999999" x14ac:dyDescent="0.25">
      <c r="A368" s="146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7.399999999999999" x14ac:dyDescent="0.25">
      <c r="A369" s="146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7.399999999999999" x14ac:dyDescent="0.25">
      <c r="A370" s="146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7.399999999999999" x14ac:dyDescent="0.25">
      <c r="A371" s="146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7.399999999999999" x14ac:dyDescent="0.25">
      <c r="A372" s="146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7.399999999999999" x14ac:dyDescent="0.25">
      <c r="A373" s="146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7.399999999999999" x14ac:dyDescent="0.25">
      <c r="A374" s="146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7.399999999999999" x14ac:dyDescent="0.25">
      <c r="A375" s="146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7.399999999999999" x14ac:dyDescent="0.25">
      <c r="A376" s="146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7.399999999999999" x14ac:dyDescent="0.25">
      <c r="A377" s="146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7.399999999999999" x14ac:dyDescent="0.25">
      <c r="A378" s="146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7.399999999999999" x14ac:dyDescent="0.25">
      <c r="A379" s="146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7.399999999999999" x14ac:dyDescent="0.25">
      <c r="A380" s="146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7.399999999999999" x14ac:dyDescent="0.25">
      <c r="A381" s="146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7.399999999999999" x14ac:dyDescent="0.25">
      <c r="A382" s="146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7.399999999999999" x14ac:dyDescent="0.25">
      <c r="A383" s="146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7.399999999999999" x14ac:dyDescent="0.25">
      <c r="A384" s="146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7.399999999999999" x14ac:dyDescent="0.25">
      <c r="A385" s="146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7.399999999999999" x14ac:dyDescent="0.25">
      <c r="A386" s="146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7.399999999999999" x14ac:dyDescent="0.25">
      <c r="A387" s="146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7.399999999999999" x14ac:dyDescent="0.25">
      <c r="A388" s="146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7.399999999999999" x14ac:dyDescent="0.25">
      <c r="A389" s="146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7.399999999999999" x14ac:dyDescent="0.25">
      <c r="A390" s="146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7.399999999999999" x14ac:dyDescent="0.25">
      <c r="A391" s="146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7.399999999999999" x14ac:dyDescent="0.25">
      <c r="A392" s="146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7.399999999999999" x14ac:dyDescent="0.25">
      <c r="A393" s="146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7.399999999999999" x14ac:dyDescent="0.25">
      <c r="A394" s="146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7.399999999999999" x14ac:dyDescent="0.25">
      <c r="A395" s="146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7.399999999999999" x14ac:dyDescent="0.25">
      <c r="A396" s="146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7.399999999999999" x14ac:dyDescent="0.25">
      <c r="A397" s="146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7.399999999999999" x14ac:dyDescent="0.25">
      <c r="A398" s="146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7.399999999999999" x14ac:dyDescent="0.25">
      <c r="A399" s="146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7.399999999999999" x14ac:dyDescent="0.25">
      <c r="A400" s="146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7.399999999999999" x14ac:dyDescent="0.25">
      <c r="A401" s="146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7.399999999999999" x14ac:dyDescent="0.25">
      <c r="A402" s="146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7.399999999999999" x14ac:dyDescent="0.25">
      <c r="A403" s="146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7.399999999999999" x14ac:dyDescent="0.25">
      <c r="A404" s="146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7.399999999999999" x14ac:dyDescent="0.25">
      <c r="A405" s="146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7.399999999999999" x14ac:dyDescent="0.25">
      <c r="A406" s="146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7.399999999999999" x14ac:dyDescent="0.25">
      <c r="A407" s="146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7.399999999999999" x14ac:dyDescent="0.25">
      <c r="A408" s="146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7.399999999999999" x14ac:dyDescent="0.25">
      <c r="A409" s="146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7.399999999999999" x14ac:dyDescent="0.25">
      <c r="A410" s="146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7.399999999999999" x14ac:dyDescent="0.25">
      <c r="A411" s="146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7.399999999999999" x14ac:dyDescent="0.25">
      <c r="A412" s="146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7.399999999999999" x14ac:dyDescent="0.25">
      <c r="A413" s="146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7.399999999999999" x14ac:dyDescent="0.25">
      <c r="A414" s="146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7.399999999999999" x14ac:dyDescent="0.25">
      <c r="A415" s="146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7.399999999999999" x14ac:dyDescent="0.25">
      <c r="A416" s="146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7.399999999999999" x14ac:dyDescent="0.25">
      <c r="A417" s="146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7.399999999999999" x14ac:dyDescent="0.25">
      <c r="A418" s="146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7.399999999999999" x14ac:dyDescent="0.25">
      <c r="A419" s="146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7.399999999999999" x14ac:dyDescent="0.25">
      <c r="A420" s="146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7.399999999999999" x14ac:dyDescent="0.25">
      <c r="A421" s="146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7.399999999999999" x14ac:dyDescent="0.25">
      <c r="A422" s="146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7.399999999999999" x14ac:dyDescent="0.25">
      <c r="A423" s="146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7.399999999999999" x14ac:dyDescent="0.25">
      <c r="A424" s="146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7.399999999999999" x14ac:dyDescent="0.25">
      <c r="A425" s="146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7.399999999999999" x14ac:dyDescent="0.25">
      <c r="A426" s="146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7.399999999999999" x14ac:dyDescent="0.25">
      <c r="A427" s="146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7.399999999999999" x14ac:dyDescent="0.25">
      <c r="A428" s="146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7.399999999999999" x14ac:dyDescent="0.25">
      <c r="A429" s="146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7.399999999999999" x14ac:dyDescent="0.25">
      <c r="A430" s="146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7.399999999999999" x14ac:dyDescent="0.25">
      <c r="A431" s="146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7.399999999999999" x14ac:dyDescent="0.25">
      <c r="A432" s="146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7.399999999999999" x14ac:dyDescent="0.25">
      <c r="A433" s="146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7.399999999999999" x14ac:dyDescent="0.25">
      <c r="A434" s="146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7.399999999999999" x14ac:dyDescent="0.25">
      <c r="A435" s="146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7.399999999999999" x14ac:dyDescent="0.25">
      <c r="A436" s="146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7.399999999999999" x14ac:dyDescent="0.25">
      <c r="A437" s="146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7.399999999999999" x14ac:dyDescent="0.25">
      <c r="A438" s="146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7.399999999999999" x14ac:dyDescent="0.25">
      <c r="A439" s="146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7.399999999999999" x14ac:dyDescent="0.25">
      <c r="A440" s="146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7.399999999999999" x14ac:dyDescent="0.25">
      <c r="A441" s="146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7.399999999999999" x14ac:dyDescent="0.25">
      <c r="A442" s="146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7.399999999999999" x14ac:dyDescent="0.25">
      <c r="A443" s="146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7.399999999999999" x14ac:dyDescent="0.25">
      <c r="A444" s="146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7.399999999999999" x14ac:dyDescent="0.25">
      <c r="A445" s="146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7.399999999999999" x14ac:dyDescent="0.25">
      <c r="A446" s="146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7.399999999999999" x14ac:dyDescent="0.25">
      <c r="A447" s="146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7.399999999999999" x14ac:dyDescent="0.25">
      <c r="A448" s="146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7.399999999999999" x14ac:dyDescent="0.25">
      <c r="A449" s="146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7.399999999999999" x14ac:dyDescent="0.25">
      <c r="A450" s="146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7.399999999999999" x14ac:dyDescent="0.25">
      <c r="A451" s="146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7.399999999999999" x14ac:dyDescent="0.25">
      <c r="A452" s="146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7.399999999999999" x14ac:dyDescent="0.25">
      <c r="A453" s="146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7.399999999999999" x14ac:dyDescent="0.25">
      <c r="A454" s="146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7.399999999999999" x14ac:dyDescent="0.25">
      <c r="A455" s="146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7.399999999999999" x14ac:dyDescent="0.25">
      <c r="A456" s="146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7.399999999999999" x14ac:dyDescent="0.25">
      <c r="A457" s="146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7.399999999999999" x14ac:dyDescent="0.25">
      <c r="A458" s="146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7.399999999999999" x14ac:dyDescent="0.25">
      <c r="A459" s="146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7.399999999999999" x14ac:dyDescent="0.25">
      <c r="A460" s="146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7.399999999999999" x14ac:dyDescent="0.25">
      <c r="A461" s="146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7.399999999999999" x14ac:dyDescent="0.25">
      <c r="A462" s="146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7.399999999999999" x14ac:dyDescent="0.25">
      <c r="A463" s="146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7.399999999999999" x14ac:dyDescent="0.25">
      <c r="A464" s="146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7.399999999999999" x14ac:dyDescent="0.25">
      <c r="A465" s="146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7.399999999999999" x14ac:dyDescent="0.25">
      <c r="A466" s="146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7.399999999999999" x14ac:dyDescent="0.25">
      <c r="A467" s="146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7.399999999999999" x14ac:dyDescent="0.25">
      <c r="A468" s="146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7.399999999999999" x14ac:dyDescent="0.25">
      <c r="A469" s="146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7.399999999999999" x14ac:dyDescent="0.25">
      <c r="A470" s="146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7.399999999999999" x14ac:dyDescent="0.25">
      <c r="A471" s="146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7.399999999999999" x14ac:dyDescent="0.25">
      <c r="A472" s="146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7.399999999999999" x14ac:dyDescent="0.25">
      <c r="A473" s="146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7.399999999999999" x14ac:dyDescent="0.25">
      <c r="A474" s="146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7.399999999999999" x14ac:dyDescent="0.25">
      <c r="A475" s="146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7.399999999999999" x14ac:dyDescent="0.25">
      <c r="A476" s="146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7.399999999999999" x14ac:dyDescent="0.25">
      <c r="A477" s="146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7.399999999999999" x14ac:dyDescent="0.25">
      <c r="A478" s="146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7.399999999999999" x14ac:dyDescent="0.25">
      <c r="A479" s="146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7.399999999999999" x14ac:dyDescent="0.25">
      <c r="A480" s="146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7.399999999999999" x14ac:dyDescent="0.25">
      <c r="A481" s="146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7.399999999999999" x14ac:dyDescent="0.25">
      <c r="A482" s="146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7.399999999999999" x14ac:dyDescent="0.25">
      <c r="A483" s="146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7.399999999999999" x14ac:dyDescent="0.25">
      <c r="A484" s="146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7.399999999999999" x14ac:dyDescent="0.25">
      <c r="A485" s="146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7.399999999999999" x14ac:dyDescent="0.25">
      <c r="A486" s="146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7.399999999999999" x14ac:dyDescent="0.25">
      <c r="A487" s="146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7.399999999999999" x14ac:dyDescent="0.25">
      <c r="A488" s="146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7.399999999999999" x14ac:dyDescent="0.25">
      <c r="A489" s="146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7.399999999999999" x14ac:dyDescent="0.25">
      <c r="A490" s="146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7.399999999999999" x14ac:dyDescent="0.25">
      <c r="A491" s="146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7.399999999999999" x14ac:dyDescent="0.25">
      <c r="A492" s="146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7.399999999999999" x14ac:dyDescent="0.25">
      <c r="A493" s="146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7.399999999999999" x14ac:dyDescent="0.25">
      <c r="A494" s="146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7.399999999999999" x14ac:dyDescent="0.25">
      <c r="A495" s="146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7.399999999999999" x14ac:dyDescent="0.25">
      <c r="A496" s="146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7.399999999999999" x14ac:dyDescent="0.25">
      <c r="A497" s="146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7.399999999999999" x14ac:dyDescent="0.25">
      <c r="A498" s="146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7.399999999999999" x14ac:dyDescent="0.25">
      <c r="A499" s="146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7.399999999999999" x14ac:dyDescent="0.25">
      <c r="A500" s="146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7.399999999999999" x14ac:dyDescent="0.25">
      <c r="A501" s="146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7.399999999999999" x14ac:dyDescent="0.25">
      <c r="A502" s="146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7.399999999999999" x14ac:dyDescent="0.25">
      <c r="A503" s="146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7.399999999999999" x14ac:dyDescent="0.25">
      <c r="A504" s="146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7.399999999999999" x14ac:dyDescent="0.25">
      <c r="A505" s="146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7.399999999999999" x14ac:dyDescent="0.25">
      <c r="A506" s="146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7.399999999999999" x14ac:dyDescent="0.25">
      <c r="A507" s="146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7.399999999999999" x14ac:dyDescent="0.25">
      <c r="A508" s="146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7.399999999999999" x14ac:dyDescent="0.25">
      <c r="A509" s="146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7.399999999999999" x14ac:dyDescent="0.25">
      <c r="A510" s="146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7.399999999999999" x14ac:dyDescent="0.25">
      <c r="A511" s="146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7.399999999999999" x14ac:dyDescent="0.25">
      <c r="A512" s="146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7.399999999999999" x14ac:dyDescent="0.25">
      <c r="A513" s="146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7.399999999999999" x14ac:dyDescent="0.25">
      <c r="A514" s="146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7.399999999999999" x14ac:dyDescent="0.25">
      <c r="A515" s="146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7.399999999999999" x14ac:dyDescent="0.25">
      <c r="A516" s="146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7.399999999999999" x14ac:dyDescent="0.25">
      <c r="A517" s="146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7.399999999999999" x14ac:dyDescent="0.25">
      <c r="A518" s="146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7.399999999999999" x14ac:dyDescent="0.25">
      <c r="A519" s="146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7.399999999999999" x14ac:dyDescent="0.25">
      <c r="A520" s="146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7.399999999999999" x14ac:dyDescent="0.25">
      <c r="A521" s="146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7.399999999999999" x14ac:dyDescent="0.25">
      <c r="A522" s="146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7.399999999999999" x14ac:dyDescent="0.25">
      <c r="A523" s="146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7.399999999999999" x14ac:dyDescent="0.25">
      <c r="A524" s="146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7.399999999999999" x14ac:dyDescent="0.25">
      <c r="A525" s="146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7.399999999999999" x14ac:dyDescent="0.25">
      <c r="A526" s="146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7.399999999999999" x14ac:dyDescent="0.25">
      <c r="A527" s="146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7.399999999999999" x14ac:dyDescent="0.25">
      <c r="A528" s="146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7.399999999999999" x14ac:dyDescent="0.25">
      <c r="A529" s="146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7.399999999999999" x14ac:dyDescent="0.25">
      <c r="A530" s="146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7.399999999999999" x14ac:dyDescent="0.25">
      <c r="A531" s="146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7.399999999999999" x14ac:dyDescent="0.25">
      <c r="A532" s="146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7.399999999999999" x14ac:dyDescent="0.25">
      <c r="A533" s="146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7.399999999999999" x14ac:dyDescent="0.25">
      <c r="A534" s="146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7.399999999999999" x14ac:dyDescent="0.25">
      <c r="A535" s="146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7.399999999999999" x14ac:dyDescent="0.25">
      <c r="A536" s="146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7.399999999999999" x14ac:dyDescent="0.25">
      <c r="A537" s="146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7.399999999999999" x14ac:dyDescent="0.25">
      <c r="A538" s="146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7.399999999999999" x14ac:dyDescent="0.25">
      <c r="A539" s="146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7.399999999999999" x14ac:dyDescent="0.25">
      <c r="A540" s="146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7.399999999999999" x14ac:dyDescent="0.25">
      <c r="A541" s="146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7.399999999999999" x14ac:dyDescent="0.25">
      <c r="A542" s="146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7.399999999999999" x14ac:dyDescent="0.25">
      <c r="A543" s="146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7.399999999999999" x14ac:dyDescent="0.25">
      <c r="A544" s="146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7.399999999999999" x14ac:dyDescent="0.25">
      <c r="A545" s="146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7.399999999999999" x14ac:dyDescent="0.25">
      <c r="A546" s="146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7.399999999999999" x14ac:dyDescent="0.25">
      <c r="A547" s="146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7.399999999999999" x14ac:dyDescent="0.25">
      <c r="A548" s="146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7.399999999999999" x14ac:dyDescent="0.25">
      <c r="A549" s="146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7.399999999999999" x14ac:dyDescent="0.25">
      <c r="A550" s="146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7.399999999999999" x14ac:dyDescent="0.25">
      <c r="A551" s="146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7.399999999999999" x14ac:dyDescent="0.25">
      <c r="A552" s="146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7.399999999999999" x14ac:dyDescent="0.25">
      <c r="A553" s="146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7.399999999999999" x14ac:dyDescent="0.25">
      <c r="A554" s="146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7.399999999999999" x14ac:dyDescent="0.25">
      <c r="A555" s="146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7.399999999999999" x14ac:dyDescent="0.25">
      <c r="A556" s="146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7.399999999999999" x14ac:dyDescent="0.25">
      <c r="A557" s="146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7.399999999999999" x14ac:dyDescent="0.25">
      <c r="A558" s="146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7.399999999999999" x14ac:dyDescent="0.25">
      <c r="A559" s="146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7.399999999999999" x14ac:dyDescent="0.25">
      <c r="A560" s="146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7.399999999999999" x14ac:dyDescent="0.25">
      <c r="A561" s="146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7.399999999999999" x14ac:dyDescent="0.25">
      <c r="A562" s="146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7.399999999999999" x14ac:dyDescent="0.25">
      <c r="A563" s="146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7.399999999999999" x14ac:dyDescent="0.25">
      <c r="A564" s="146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7.399999999999999" x14ac:dyDescent="0.25">
      <c r="A565" s="146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7.399999999999999" x14ac:dyDescent="0.25">
      <c r="A566" s="146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7.399999999999999" x14ac:dyDescent="0.25">
      <c r="A567" s="146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7.399999999999999" x14ac:dyDescent="0.25">
      <c r="A568" s="146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7.399999999999999" x14ac:dyDescent="0.25">
      <c r="A569" s="146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7.399999999999999" x14ac:dyDescent="0.25">
      <c r="A570" s="146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7.399999999999999" x14ac:dyDescent="0.25">
      <c r="A571" s="146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7.399999999999999" x14ac:dyDescent="0.25">
      <c r="A572" s="146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7.399999999999999" x14ac:dyDescent="0.25">
      <c r="A573" s="146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7.399999999999999" x14ac:dyDescent="0.25">
      <c r="A574" s="146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7.399999999999999" x14ac:dyDescent="0.25">
      <c r="A575" s="146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7.399999999999999" x14ac:dyDescent="0.25">
      <c r="A576" s="146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7.399999999999999" x14ac:dyDescent="0.25">
      <c r="A577" s="146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7.399999999999999" x14ac:dyDescent="0.25">
      <c r="A578" s="146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7.399999999999999" x14ac:dyDescent="0.25">
      <c r="A579" s="146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7.399999999999999" x14ac:dyDescent="0.25">
      <c r="A580" s="146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7.399999999999999" x14ac:dyDescent="0.25">
      <c r="A581" s="146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7.399999999999999" x14ac:dyDescent="0.25">
      <c r="A582" s="146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7.399999999999999" x14ac:dyDescent="0.25">
      <c r="A583" s="146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7.399999999999999" x14ac:dyDescent="0.25">
      <c r="A584" s="146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7.399999999999999" x14ac:dyDescent="0.25">
      <c r="A585" s="146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7.399999999999999" x14ac:dyDescent="0.25">
      <c r="A586" s="146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7.399999999999999" x14ac:dyDescent="0.25">
      <c r="A587" s="146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7.399999999999999" x14ac:dyDescent="0.25">
      <c r="A588" s="146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7.399999999999999" x14ac:dyDescent="0.25">
      <c r="A589" s="146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7.399999999999999" x14ac:dyDescent="0.25">
      <c r="A590" s="146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7.399999999999999" x14ac:dyDescent="0.25">
      <c r="A591" s="146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7.399999999999999" x14ac:dyDescent="0.25">
      <c r="A592" s="146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7.399999999999999" x14ac:dyDescent="0.25">
      <c r="A593" s="146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7.399999999999999" x14ac:dyDescent="0.25">
      <c r="A594" s="146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7.399999999999999" x14ac:dyDescent="0.25">
      <c r="A595" s="146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7.399999999999999" x14ac:dyDescent="0.25">
      <c r="A596" s="146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7.399999999999999" x14ac:dyDescent="0.25">
      <c r="A597" s="146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7.399999999999999" x14ac:dyDescent="0.25">
      <c r="A598" s="146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7.399999999999999" x14ac:dyDescent="0.25">
      <c r="A599" s="146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7.399999999999999" x14ac:dyDescent="0.25">
      <c r="A600" s="146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7.399999999999999" x14ac:dyDescent="0.25">
      <c r="A601" s="146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7.399999999999999" x14ac:dyDescent="0.25">
      <c r="A602" s="146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7.399999999999999" x14ac:dyDescent="0.25">
      <c r="A603" s="146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7.399999999999999" x14ac:dyDescent="0.25">
      <c r="A604" s="146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7.399999999999999" x14ac:dyDescent="0.25">
      <c r="A605" s="146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7.399999999999999" x14ac:dyDescent="0.25">
      <c r="A606" s="146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7.399999999999999" x14ac:dyDescent="0.25">
      <c r="A607" s="146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7.399999999999999" x14ac:dyDescent="0.25">
      <c r="A608" s="146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7.399999999999999" x14ac:dyDescent="0.25">
      <c r="A609" s="146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7.399999999999999" x14ac:dyDescent="0.25">
      <c r="A610" s="146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7.399999999999999" x14ac:dyDescent="0.25">
      <c r="A611" s="146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7.399999999999999" x14ac:dyDescent="0.25">
      <c r="A612" s="146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7.399999999999999" x14ac:dyDescent="0.25">
      <c r="A613" s="146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7.399999999999999" x14ac:dyDescent="0.25">
      <c r="A614" s="146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7.399999999999999" x14ac:dyDescent="0.25">
      <c r="A615" s="146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7.399999999999999" x14ac:dyDescent="0.25">
      <c r="A616" s="146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7.399999999999999" x14ac:dyDescent="0.25">
      <c r="A617" s="146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7.399999999999999" x14ac:dyDescent="0.25">
      <c r="A618" s="146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7.399999999999999" x14ac:dyDescent="0.25">
      <c r="A619" s="146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7.399999999999999" x14ac:dyDescent="0.25">
      <c r="A620" s="146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7.399999999999999" x14ac:dyDescent="0.25">
      <c r="A621" s="146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7.399999999999999" x14ac:dyDescent="0.25">
      <c r="A622" s="146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7.399999999999999" x14ac:dyDescent="0.25">
      <c r="A623" s="146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7.399999999999999" x14ac:dyDescent="0.25">
      <c r="A624" s="146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7.399999999999999" x14ac:dyDescent="0.25">
      <c r="A625" s="146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7.399999999999999" x14ac:dyDescent="0.25">
      <c r="A626" s="146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7.399999999999999" x14ac:dyDescent="0.25">
      <c r="A627" s="146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7.399999999999999" x14ac:dyDescent="0.25">
      <c r="A628" s="146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7.399999999999999" x14ac:dyDescent="0.25">
      <c r="A629" s="146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7.399999999999999" x14ac:dyDescent="0.25">
      <c r="A630" s="146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7.399999999999999" x14ac:dyDescent="0.25">
      <c r="A631" s="146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7.399999999999999" x14ac:dyDescent="0.25">
      <c r="A632" s="146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7.399999999999999" x14ac:dyDescent="0.25">
      <c r="A633" s="146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7.399999999999999" x14ac:dyDescent="0.25">
      <c r="A634" s="146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7.399999999999999" x14ac:dyDescent="0.25">
      <c r="A635" s="146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7.399999999999999" x14ac:dyDescent="0.25">
      <c r="A636" s="146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7.399999999999999" x14ac:dyDescent="0.25">
      <c r="A637" s="146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7.399999999999999" x14ac:dyDescent="0.25">
      <c r="A638" s="146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7.399999999999999" x14ac:dyDescent="0.25">
      <c r="A639" s="146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7.399999999999999" x14ac:dyDescent="0.25">
      <c r="A640" s="146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7.399999999999999" x14ac:dyDescent="0.25">
      <c r="A641" s="146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7.399999999999999" x14ac:dyDescent="0.25">
      <c r="A642" s="146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7.399999999999999" x14ac:dyDescent="0.25">
      <c r="A643" s="146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7.399999999999999" x14ac:dyDescent="0.25">
      <c r="A644" s="146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7.399999999999999" x14ac:dyDescent="0.25">
      <c r="A645" s="146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7.399999999999999" x14ac:dyDescent="0.25">
      <c r="A646" s="146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7.399999999999999" x14ac:dyDescent="0.25">
      <c r="A647" s="146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7.399999999999999" x14ac:dyDescent="0.25">
      <c r="A648" s="146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7.399999999999999" x14ac:dyDescent="0.25">
      <c r="A649" s="146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7.399999999999999" x14ac:dyDescent="0.25">
      <c r="A650" s="146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7.399999999999999" x14ac:dyDescent="0.25">
      <c r="A651" s="146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7.399999999999999" x14ac:dyDescent="0.25">
      <c r="A652" s="146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7.399999999999999" x14ac:dyDescent="0.25">
      <c r="A653" s="146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7.399999999999999" x14ac:dyDescent="0.25">
      <c r="A654" s="146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7.399999999999999" x14ac:dyDescent="0.25">
      <c r="A655" s="146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7.399999999999999" x14ac:dyDescent="0.25">
      <c r="A656" s="146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7.399999999999999" x14ac:dyDescent="0.25">
      <c r="A657" s="146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7.399999999999999" x14ac:dyDescent="0.25">
      <c r="A658" s="146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7.399999999999999" x14ac:dyDescent="0.25">
      <c r="A659" s="146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7.399999999999999" x14ac:dyDescent="0.25">
      <c r="A660" s="146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7.399999999999999" x14ac:dyDescent="0.25">
      <c r="A661" s="146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7.399999999999999" x14ac:dyDescent="0.25">
      <c r="A662" s="146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7.399999999999999" x14ac:dyDescent="0.25">
      <c r="A663" s="146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7.399999999999999" x14ac:dyDescent="0.25">
      <c r="A664" s="146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7.399999999999999" x14ac:dyDescent="0.25">
      <c r="A665" s="146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7.399999999999999" x14ac:dyDescent="0.25">
      <c r="A666" s="146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7.399999999999999" x14ac:dyDescent="0.25">
      <c r="A667" s="146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7.399999999999999" x14ac:dyDescent="0.25">
      <c r="A668" s="146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7.399999999999999" x14ac:dyDescent="0.25">
      <c r="A669" s="146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7.399999999999999" x14ac:dyDescent="0.25">
      <c r="A670" s="146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7.399999999999999" x14ac:dyDescent="0.25">
      <c r="A671" s="146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7.399999999999999" x14ac:dyDescent="0.25">
      <c r="A672" s="146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7.399999999999999" x14ac:dyDescent="0.25">
      <c r="A673" s="146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7.399999999999999" x14ac:dyDescent="0.25">
      <c r="A674" s="146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7.399999999999999" x14ac:dyDescent="0.25">
      <c r="A675" s="146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7.399999999999999" x14ac:dyDescent="0.25">
      <c r="A676" s="146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7.399999999999999" x14ac:dyDescent="0.25">
      <c r="A677" s="146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7.399999999999999" x14ac:dyDescent="0.25">
      <c r="A678" s="146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7.399999999999999" x14ac:dyDescent="0.25">
      <c r="A679" s="146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7.399999999999999" x14ac:dyDescent="0.25">
      <c r="A680" s="146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7.399999999999999" x14ac:dyDescent="0.25">
      <c r="A681" s="146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7.399999999999999" x14ac:dyDescent="0.25">
      <c r="A682" s="146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7.399999999999999" x14ac:dyDescent="0.25">
      <c r="A683" s="146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7.399999999999999" x14ac:dyDescent="0.25">
      <c r="A684" s="146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7.399999999999999" x14ac:dyDescent="0.25">
      <c r="A685" s="146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7.399999999999999" x14ac:dyDescent="0.25">
      <c r="A686" s="146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7.399999999999999" x14ac:dyDescent="0.25">
      <c r="A687" s="146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7.399999999999999" x14ac:dyDescent="0.25">
      <c r="A688" s="146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7.399999999999999" x14ac:dyDescent="0.25">
      <c r="A689" s="146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7.399999999999999" x14ac:dyDescent="0.25">
      <c r="A690" s="146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7.399999999999999" x14ac:dyDescent="0.25">
      <c r="A691" s="146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7.399999999999999" x14ac:dyDescent="0.25">
      <c r="A692" s="146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7.399999999999999" x14ac:dyDescent="0.25">
      <c r="A693" s="146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7.399999999999999" x14ac:dyDescent="0.25">
      <c r="A694" s="146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7.399999999999999" x14ac:dyDescent="0.25">
      <c r="A695" s="146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7.399999999999999" x14ac:dyDescent="0.25">
      <c r="A696" s="146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7.399999999999999" x14ac:dyDescent="0.25">
      <c r="A697" s="146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7.399999999999999" x14ac:dyDescent="0.25">
      <c r="A698" s="146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7.399999999999999" x14ac:dyDescent="0.25">
      <c r="A699" s="146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7.399999999999999" x14ac:dyDescent="0.25">
      <c r="A700" s="146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7.399999999999999" x14ac:dyDescent="0.25">
      <c r="A701" s="146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7.399999999999999" x14ac:dyDescent="0.25">
      <c r="A702" s="146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7.399999999999999" x14ac:dyDescent="0.25">
      <c r="A703" s="146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7.399999999999999" x14ac:dyDescent="0.25">
      <c r="A704" s="146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7.399999999999999" x14ac:dyDescent="0.25">
      <c r="A705" s="146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7.399999999999999" x14ac:dyDescent="0.25">
      <c r="A706" s="146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7.399999999999999" x14ac:dyDescent="0.25">
      <c r="A707" s="146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7.399999999999999" x14ac:dyDescent="0.25">
      <c r="A708" s="146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7.399999999999999" x14ac:dyDescent="0.25">
      <c r="A709" s="146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7.399999999999999" x14ac:dyDescent="0.25">
      <c r="A710" s="146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7.399999999999999" x14ac:dyDescent="0.25">
      <c r="A711" s="146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7.399999999999999" x14ac:dyDescent="0.25">
      <c r="A712" s="146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7.399999999999999" x14ac:dyDescent="0.25">
      <c r="A713" s="146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7.399999999999999" x14ac:dyDescent="0.25">
      <c r="A714" s="146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7.399999999999999" x14ac:dyDescent="0.25">
      <c r="A715" s="146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7.399999999999999" x14ac:dyDescent="0.25">
      <c r="A716" s="146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7.399999999999999" x14ac:dyDescent="0.25">
      <c r="A717" s="146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7.399999999999999" x14ac:dyDescent="0.25">
      <c r="A718" s="146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7.399999999999999" x14ac:dyDescent="0.25">
      <c r="A719" s="146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7.399999999999999" x14ac:dyDescent="0.25">
      <c r="A720" s="146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7.399999999999999" x14ac:dyDescent="0.25">
      <c r="A721" s="146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7.399999999999999" x14ac:dyDescent="0.25">
      <c r="A722" s="146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7.399999999999999" x14ac:dyDescent="0.25">
      <c r="A723" s="146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7.399999999999999" x14ac:dyDescent="0.25">
      <c r="A724" s="146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7.399999999999999" x14ac:dyDescent="0.25">
      <c r="A725" s="146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7.399999999999999" x14ac:dyDescent="0.25">
      <c r="A726" s="146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7.399999999999999" x14ac:dyDescent="0.25">
      <c r="A727" s="146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7.399999999999999" x14ac:dyDescent="0.25">
      <c r="A728" s="146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7.399999999999999" x14ac:dyDescent="0.25">
      <c r="A729" s="146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7.399999999999999" x14ac:dyDescent="0.25">
      <c r="A730" s="146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7.399999999999999" x14ac:dyDescent="0.25">
      <c r="A731" s="146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7.399999999999999" x14ac:dyDescent="0.25">
      <c r="A732" s="146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7.399999999999999" x14ac:dyDescent="0.25">
      <c r="A733" s="146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7.399999999999999" x14ac:dyDescent="0.25">
      <c r="A734" s="146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7.399999999999999" x14ac:dyDescent="0.25">
      <c r="A735" s="146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7.399999999999999" x14ac:dyDescent="0.25">
      <c r="A736" s="146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7.399999999999999" x14ac:dyDescent="0.25">
      <c r="A737" s="146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7.399999999999999" x14ac:dyDescent="0.25">
      <c r="A738" s="146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7.399999999999999" x14ac:dyDescent="0.25">
      <c r="A739" s="146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7.399999999999999" x14ac:dyDescent="0.25">
      <c r="A740" s="146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7.399999999999999" x14ac:dyDescent="0.25">
      <c r="A741" s="146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7.399999999999999" x14ac:dyDescent="0.25">
      <c r="A742" s="146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7.399999999999999" x14ac:dyDescent="0.25">
      <c r="A743" s="146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7.399999999999999" x14ac:dyDescent="0.25">
      <c r="A744" s="146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7.399999999999999" x14ac:dyDescent="0.25">
      <c r="A745" s="146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7.399999999999999" x14ac:dyDescent="0.25">
      <c r="A746" s="146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7.399999999999999" x14ac:dyDescent="0.25">
      <c r="A747" s="146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7.399999999999999" x14ac:dyDescent="0.25">
      <c r="A748" s="146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7.399999999999999" x14ac:dyDescent="0.25">
      <c r="A749" s="146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7.399999999999999" x14ac:dyDescent="0.25">
      <c r="A750" s="146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7.399999999999999" x14ac:dyDescent="0.25">
      <c r="A751" s="146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7.399999999999999" x14ac:dyDescent="0.25">
      <c r="A752" s="146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7.399999999999999" x14ac:dyDescent="0.25">
      <c r="A753" s="146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7.399999999999999" x14ac:dyDescent="0.25">
      <c r="A754" s="146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7.399999999999999" x14ac:dyDescent="0.25">
      <c r="A755" s="146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7.399999999999999" x14ac:dyDescent="0.25">
      <c r="A756" s="146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7.399999999999999" x14ac:dyDescent="0.25">
      <c r="A757" s="146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7.399999999999999" x14ac:dyDescent="0.25">
      <c r="A758" s="146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7.399999999999999" x14ac:dyDescent="0.25">
      <c r="A759" s="146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7.399999999999999" x14ac:dyDescent="0.25">
      <c r="A760" s="146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7.399999999999999" x14ac:dyDescent="0.25">
      <c r="A761" s="146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7.399999999999999" x14ac:dyDescent="0.25">
      <c r="A762" s="146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7.399999999999999" x14ac:dyDescent="0.25">
      <c r="A763" s="146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7.399999999999999" x14ac:dyDescent="0.25">
      <c r="A764" s="146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7.399999999999999" x14ac:dyDescent="0.25">
      <c r="A765" s="146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7.399999999999999" x14ac:dyDescent="0.25">
      <c r="A766" s="146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7.399999999999999" x14ac:dyDescent="0.25">
      <c r="A767" s="146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7.399999999999999" x14ac:dyDescent="0.25">
      <c r="A768" s="146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7.399999999999999" x14ac:dyDescent="0.25">
      <c r="A769" s="146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7.399999999999999" x14ac:dyDescent="0.25">
      <c r="A770" s="146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7.399999999999999" x14ac:dyDescent="0.25">
      <c r="A771" s="146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7.399999999999999" x14ac:dyDescent="0.25">
      <c r="A772" s="146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7.399999999999999" x14ac:dyDescent="0.25">
      <c r="A773" s="146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7.399999999999999" x14ac:dyDescent="0.25">
      <c r="A774" s="146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7.399999999999999" x14ac:dyDescent="0.25">
      <c r="A775" s="146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7.399999999999999" x14ac:dyDescent="0.25">
      <c r="A776" s="146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7.399999999999999" x14ac:dyDescent="0.25">
      <c r="A777" s="146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7.399999999999999" x14ac:dyDescent="0.25">
      <c r="A778" s="146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7.399999999999999" x14ac:dyDescent="0.25">
      <c r="A779" s="146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7.399999999999999" x14ac:dyDescent="0.25">
      <c r="A780" s="146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7.399999999999999" x14ac:dyDescent="0.25">
      <c r="A781" s="146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7.399999999999999" x14ac:dyDescent="0.25">
      <c r="A782" s="146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7.399999999999999" x14ac:dyDescent="0.25">
      <c r="A783" s="146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7.399999999999999" x14ac:dyDescent="0.25">
      <c r="A784" s="146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7.399999999999999" x14ac:dyDescent="0.25">
      <c r="A785" s="146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7.399999999999999" x14ac:dyDescent="0.25">
      <c r="A786" s="146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7.399999999999999" x14ac:dyDescent="0.25">
      <c r="A787" s="146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7.399999999999999" x14ac:dyDescent="0.25">
      <c r="A788" s="146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7.399999999999999" x14ac:dyDescent="0.25">
      <c r="A789" s="146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7.399999999999999" x14ac:dyDescent="0.25">
      <c r="A790" s="146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7.399999999999999" x14ac:dyDescent="0.25">
      <c r="A791" s="146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7.399999999999999" x14ac:dyDescent="0.25">
      <c r="A792" s="146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7.399999999999999" x14ac:dyDescent="0.25">
      <c r="A793" s="146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7.399999999999999" x14ac:dyDescent="0.25">
      <c r="A794" s="146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7.399999999999999" x14ac:dyDescent="0.25">
      <c r="A795" s="146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7.399999999999999" x14ac:dyDescent="0.25">
      <c r="A796" s="146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7.399999999999999" x14ac:dyDescent="0.25">
      <c r="A797" s="146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7.399999999999999" x14ac:dyDescent="0.25">
      <c r="A798" s="146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7.399999999999999" x14ac:dyDescent="0.25">
      <c r="A799" s="146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7.399999999999999" x14ac:dyDescent="0.25">
      <c r="A800" s="146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7.399999999999999" x14ac:dyDescent="0.25">
      <c r="A801" s="146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7.399999999999999" x14ac:dyDescent="0.25">
      <c r="A802" s="146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7.399999999999999" x14ac:dyDescent="0.25">
      <c r="A803" s="146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7.399999999999999" x14ac:dyDescent="0.25">
      <c r="A804" s="146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7.399999999999999" x14ac:dyDescent="0.25">
      <c r="A805" s="146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7.399999999999999" x14ac:dyDescent="0.25">
      <c r="A806" s="146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7.399999999999999" x14ac:dyDescent="0.25">
      <c r="A807" s="146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7.399999999999999" x14ac:dyDescent="0.25">
      <c r="A808" s="146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7.399999999999999" x14ac:dyDescent="0.25">
      <c r="A809" s="146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7.399999999999999" x14ac:dyDescent="0.25">
      <c r="A810" s="146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7.399999999999999" x14ac:dyDescent="0.25">
      <c r="A811" s="146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7.399999999999999" x14ac:dyDescent="0.25">
      <c r="A812" s="146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7.399999999999999" x14ac:dyDescent="0.25">
      <c r="A813" s="146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7.399999999999999" x14ac:dyDescent="0.25">
      <c r="A814" s="146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7.399999999999999" x14ac:dyDescent="0.25">
      <c r="A815" s="146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7.399999999999999" x14ac:dyDescent="0.25">
      <c r="A816" s="146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7.399999999999999" x14ac:dyDescent="0.25">
      <c r="A817" s="146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7.399999999999999" x14ac:dyDescent="0.25">
      <c r="A818" s="146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7.399999999999999" x14ac:dyDescent="0.25">
      <c r="A819" s="146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7.399999999999999" x14ac:dyDescent="0.25">
      <c r="A820" s="146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7.399999999999999" x14ac:dyDescent="0.25">
      <c r="A821" s="146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7.399999999999999" x14ac:dyDescent="0.25">
      <c r="A822" s="146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7.399999999999999" x14ac:dyDescent="0.25">
      <c r="A823" s="146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7.399999999999999" x14ac:dyDescent="0.25">
      <c r="A824" s="146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7.399999999999999" x14ac:dyDescent="0.25">
      <c r="A825" s="146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7.399999999999999" x14ac:dyDescent="0.25">
      <c r="A826" s="146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7.399999999999999" x14ac:dyDescent="0.25">
      <c r="A827" s="146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7.399999999999999" x14ac:dyDescent="0.25">
      <c r="A828" s="146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7.399999999999999" x14ac:dyDescent="0.25">
      <c r="A829" s="146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7.399999999999999" x14ac:dyDescent="0.25">
      <c r="A830" s="146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7.399999999999999" x14ac:dyDescent="0.25">
      <c r="A831" s="146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7.399999999999999" x14ac:dyDescent="0.25">
      <c r="A832" s="146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7.399999999999999" x14ac:dyDescent="0.25">
      <c r="A833" s="146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7.399999999999999" x14ac:dyDescent="0.25">
      <c r="A834" s="146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7.399999999999999" x14ac:dyDescent="0.25">
      <c r="A835" s="146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7.399999999999999" x14ac:dyDescent="0.25">
      <c r="A836" s="146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7.399999999999999" x14ac:dyDescent="0.25">
      <c r="A837" s="146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7.399999999999999" x14ac:dyDescent="0.25">
      <c r="A838" s="146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7.399999999999999" x14ac:dyDescent="0.25">
      <c r="A839" s="146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7.399999999999999" x14ac:dyDescent="0.25">
      <c r="A840" s="146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7.399999999999999" x14ac:dyDescent="0.25">
      <c r="A841" s="146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7.399999999999999" x14ac:dyDescent="0.25">
      <c r="A842" s="146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7.399999999999999" x14ac:dyDescent="0.25">
      <c r="A843" s="146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7.399999999999999" x14ac:dyDescent="0.25">
      <c r="A844" s="146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7.399999999999999" x14ac:dyDescent="0.25">
      <c r="A845" s="146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7.399999999999999" x14ac:dyDescent="0.25">
      <c r="A846" s="146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7.399999999999999" x14ac:dyDescent="0.25">
      <c r="A847" s="146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7.399999999999999" x14ac:dyDescent="0.25">
      <c r="A848" s="146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7.399999999999999" x14ac:dyDescent="0.25">
      <c r="A849" s="146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7.399999999999999" x14ac:dyDescent="0.25">
      <c r="A850" s="146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7.399999999999999" x14ac:dyDescent="0.25">
      <c r="A851" s="146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7.399999999999999" x14ac:dyDescent="0.25">
      <c r="A852" s="146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7.399999999999999" x14ac:dyDescent="0.25">
      <c r="A853" s="146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7.399999999999999" x14ac:dyDescent="0.25">
      <c r="A854" s="146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7.399999999999999" x14ac:dyDescent="0.25">
      <c r="A855" s="146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7.399999999999999" x14ac:dyDescent="0.25">
      <c r="A856" s="146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7.399999999999999" x14ac:dyDescent="0.25">
      <c r="A857" s="146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7.399999999999999" x14ac:dyDescent="0.25">
      <c r="A858" s="146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7.399999999999999" x14ac:dyDescent="0.25">
      <c r="A859" s="146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7.399999999999999" x14ac:dyDescent="0.25">
      <c r="A860" s="146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7.399999999999999" x14ac:dyDescent="0.25">
      <c r="A861" s="146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7.399999999999999" x14ac:dyDescent="0.25">
      <c r="A862" s="146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7.399999999999999" x14ac:dyDescent="0.25">
      <c r="A863" s="146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7.399999999999999" x14ac:dyDescent="0.25">
      <c r="A864" s="146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7.399999999999999" x14ac:dyDescent="0.25">
      <c r="A865" s="146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7.399999999999999" x14ac:dyDescent="0.25">
      <c r="A866" s="146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7.399999999999999" x14ac:dyDescent="0.25">
      <c r="A867" s="146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7.399999999999999" x14ac:dyDescent="0.25">
      <c r="A868" s="146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7.399999999999999" x14ac:dyDescent="0.25">
      <c r="A869" s="146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7.399999999999999" x14ac:dyDescent="0.25">
      <c r="A870" s="146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7.399999999999999" x14ac:dyDescent="0.25">
      <c r="A871" s="146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7.399999999999999" x14ac:dyDescent="0.25">
      <c r="A872" s="146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7.399999999999999" x14ac:dyDescent="0.25">
      <c r="A873" s="146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7.399999999999999" x14ac:dyDescent="0.25">
      <c r="A874" s="146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7.399999999999999" x14ac:dyDescent="0.25">
      <c r="A875" s="146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7.399999999999999" x14ac:dyDescent="0.25">
      <c r="A876" s="146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7.399999999999999" x14ac:dyDescent="0.25">
      <c r="A877" s="146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7.399999999999999" x14ac:dyDescent="0.25">
      <c r="A878" s="146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7.399999999999999" x14ac:dyDescent="0.25">
      <c r="A879" s="146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7.399999999999999" x14ac:dyDescent="0.25">
      <c r="A880" s="146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7.399999999999999" x14ac:dyDescent="0.25">
      <c r="A881" s="146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7.399999999999999" x14ac:dyDescent="0.25">
      <c r="A882" s="146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7.399999999999999" x14ac:dyDescent="0.25">
      <c r="A883" s="146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7.399999999999999" x14ac:dyDescent="0.25">
      <c r="A884" s="146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7.399999999999999" x14ac:dyDescent="0.25">
      <c r="A885" s="146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7.399999999999999" x14ac:dyDescent="0.25">
      <c r="A886" s="146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7.399999999999999" x14ac:dyDescent="0.25">
      <c r="A887" s="146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7.399999999999999" x14ac:dyDescent="0.25">
      <c r="A888" s="146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7.399999999999999" x14ac:dyDescent="0.25">
      <c r="A889" s="146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7.399999999999999" x14ac:dyDescent="0.25">
      <c r="A890" s="146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7.399999999999999" x14ac:dyDescent="0.25">
      <c r="A891" s="146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7.399999999999999" x14ac:dyDescent="0.25">
      <c r="A892" s="146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7.399999999999999" x14ac:dyDescent="0.25">
      <c r="A893" s="146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7.399999999999999" x14ac:dyDescent="0.25">
      <c r="A894" s="146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7.399999999999999" x14ac:dyDescent="0.25">
      <c r="A895" s="146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7.399999999999999" x14ac:dyDescent="0.25">
      <c r="A896" s="146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7.399999999999999" x14ac:dyDescent="0.25">
      <c r="A897" s="146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7.399999999999999" x14ac:dyDescent="0.25">
      <c r="A898" s="146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7.399999999999999" x14ac:dyDescent="0.25">
      <c r="A899" s="146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7.399999999999999" x14ac:dyDescent="0.25">
      <c r="A900" s="146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7.399999999999999" x14ac:dyDescent="0.25">
      <c r="A901" s="146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7.399999999999999" x14ac:dyDescent="0.25">
      <c r="A902" s="146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7.399999999999999" x14ac:dyDescent="0.25">
      <c r="A903" s="146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7.399999999999999" x14ac:dyDescent="0.25">
      <c r="A904" s="146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7.399999999999999" x14ac:dyDescent="0.25">
      <c r="A905" s="146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7.399999999999999" x14ac:dyDescent="0.25">
      <c r="A906" s="146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7.399999999999999" x14ac:dyDescent="0.25">
      <c r="A907" s="146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7.399999999999999" x14ac:dyDescent="0.25">
      <c r="A908" s="146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7.399999999999999" x14ac:dyDescent="0.25">
      <c r="A909" s="146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7.399999999999999" x14ac:dyDescent="0.25">
      <c r="A910" s="146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7.399999999999999" x14ac:dyDescent="0.25">
      <c r="A911" s="146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7.399999999999999" x14ac:dyDescent="0.25">
      <c r="A912" s="146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7.399999999999999" x14ac:dyDescent="0.25">
      <c r="A913" s="146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7.399999999999999" x14ac:dyDescent="0.25">
      <c r="A914" s="146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7.399999999999999" x14ac:dyDescent="0.25">
      <c r="A915" s="146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7.399999999999999" x14ac:dyDescent="0.25">
      <c r="A916" s="146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7.399999999999999" x14ac:dyDescent="0.25">
      <c r="A917" s="146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7.399999999999999" x14ac:dyDescent="0.25">
      <c r="A918" s="146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7.399999999999999" x14ac:dyDescent="0.25">
      <c r="A919" s="146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7.399999999999999" x14ac:dyDescent="0.25">
      <c r="A920" s="146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7.399999999999999" x14ac:dyDescent="0.25">
      <c r="A921" s="146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7.399999999999999" x14ac:dyDescent="0.25">
      <c r="A922" s="146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7.399999999999999" x14ac:dyDescent="0.25">
      <c r="A923" s="146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7.399999999999999" x14ac:dyDescent="0.25">
      <c r="A924" s="146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7.399999999999999" x14ac:dyDescent="0.25">
      <c r="A925" s="146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7.399999999999999" x14ac:dyDescent="0.25">
      <c r="A926" s="146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7.399999999999999" x14ac:dyDescent="0.25">
      <c r="A927" s="146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7.399999999999999" x14ac:dyDescent="0.25">
      <c r="A928" s="146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7.399999999999999" x14ac:dyDescent="0.25">
      <c r="A929" s="146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7.399999999999999" x14ac:dyDescent="0.25">
      <c r="A930" s="146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7.399999999999999" x14ac:dyDescent="0.25">
      <c r="A931" s="146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7.399999999999999" x14ac:dyDescent="0.25">
      <c r="A932" s="146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7.399999999999999" x14ac:dyDescent="0.25">
      <c r="A933" s="146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7.399999999999999" x14ac:dyDescent="0.25">
      <c r="A934" s="146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7.399999999999999" x14ac:dyDescent="0.25">
      <c r="A935" s="146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7.399999999999999" x14ac:dyDescent="0.25">
      <c r="A936" s="146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7.399999999999999" x14ac:dyDescent="0.25">
      <c r="A937" s="146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7.399999999999999" x14ac:dyDescent="0.25">
      <c r="A938" s="146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7.399999999999999" x14ac:dyDescent="0.25">
      <c r="A939" s="146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7.399999999999999" x14ac:dyDescent="0.25">
      <c r="A940" s="146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7.399999999999999" x14ac:dyDescent="0.25">
      <c r="A941" s="146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7.399999999999999" x14ac:dyDescent="0.25">
      <c r="A942" s="146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7.399999999999999" x14ac:dyDescent="0.25">
      <c r="A943" s="146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7.399999999999999" x14ac:dyDescent="0.25">
      <c r="A944" s="146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7.399999999999999" x14ac:dyDescent="0.25">
      <c r="A945" s="146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7.399999999999999" x14ac:dyDescent="0.25">
      <c r="A946" s="146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7.399999999999999" x14ac:dyDescent="0.25">
      <c r="A947" s="146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7.399999999999999" x14ac:dyDescent="0.25">
      <c r="A948" s="146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7.399999999999999" x14ac:dyDescent="0.25">
      <c r="A949" s="146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7.399999999999999" x14ac:dyDescent="0.25">
      <c r="A950" s="146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7.399999999999999" x14ac:dyDescent="0.25">
      <c r="A951" s="146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7.399999999999999" x14ac:dyDescent="0.25">
      <c r="A952" s="146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7.399999999999999" x14ac:dyDescent="0.25">
      <c r="A953" s="146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7.399999999999999" x14ac:dyDescent="0.25">
      <c r="A954" s="146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7.399999999999999" x14ac:dyDescent="0.25">
      <c r="A955" s="146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7.399999999999999" x14ac:dyDescent="0.25">
      <c r="A956" s="146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7.399999999999999" x14ac:dyDescent="0.25">
      <c r="A957" s="146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7.399999999999999" x14ac:dyDescent="0.25">
      <c r="A958" s="146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7.399999999999999" x14ac:dyDescent="0.25">
      <c r="A959" s="146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7.399999999999999" x14ac:dyDescent="0.25">
      <c r="A960" s="146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7.399999999999999" x14ac:dyDescent="0.25">
      <c r="A961" s="146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7.399999999999999" x14ac:dyDescent="0.25">
      <c r="A962" s="146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7.399999999999999" x14ac:dyDescent="0.25">
      <c r="A963" s="146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7.399999999999999" x14ac:dyDescent="0.25">
      <c r="A964" s="146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7.399999999999999" x14ac:dyDescent="0.25">
      <c r="A965" s="146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7.399999999999999" x14ac:dyDescent="0.25">
      <c r="A966" s="146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7.399999999999999" x14ac:dyDescent="0.25">
      <c r="A967" s="146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7.399999999999999" x14ac:dyDescent="0.25">
      <c r="A968" s="146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7.399999999999999" x14ac:dyDescent="0.25">
      <c r="A969" s="146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7.399999999999999" x14ac:dyDescent="0.25">
      <c r="A970" s="146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7.399999999999999" x14ac:dyDescent="0.25">
      <c r="A971" s="146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7.399999999999999" x14ac:dyDescent="0.25">
      <c r="A972" s="146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7.399999999999999" x14ac:dyDescent="0.25">
      <c r="A973" s="146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7.399999999999999" x14ac:dyDescent="0.25">
      <c r="A974" s="146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7.399999999999999" x14ac:dyDescent="0.25">
      <c r="A975" s="146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7.399999999999999" x14ac:dyDescent="0.25">
      <c r="A976" s="146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7.399999999999999" x14ac:dyDescent="0.25">
      <c r="A977" s="146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7.399999999999999" x14ac:dyDescent="0.25">
      <c r="A978" s="146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7.399999999999999" x14ac:dyDescent="0.25">
      <c r="A979" s="146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7.399999999999999" x14ac:dyDescent="0.25">
      <c r="A980" s="146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7.399999999999999" x14ac:dyDescent="0.25">
      <c r="A981" s="146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7.399999999999999" x14ac:dyDescent="0.25">
      <c r="A982" s="146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7.399999999999999" x14ac:dyDescent="0.25">
      <c r="A983" s="146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7.399999999999999" x14ac:dyDescent="0.25">
      <c r="A984" s="146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7.399999999999999" x14ac:dyDescent="0.25">
      <c r="A985" s="146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7.399999999999999" x14ac:dyDescent="0.25">
      <c r="A986" s="146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VR Trading</vt:lpstr>
      <vt:lpstr>Bullish</vt:lpstr>
      <vt:lpstr>Bearish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Sidhu Gorantla</cp:lastModifiedBy>
  <dcterms:created xsi:type="dcterms:W3CDTF">2023-07-30T05:57:39Z</dcterms:created>
  <dcterms:modified xsi:type="dcterms:W3CDTF">2023-07-30T05:57:39Z</dcterms:modified>
</cp:coreProperties>
</file>